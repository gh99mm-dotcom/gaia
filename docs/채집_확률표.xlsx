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채집 확률표" sheetId="1" state="visible" r:id="rId3"/>
    <sheet name="규칙" sheetId="2" state="visible" r:id="rId4"/>
    <sheet name="기대 수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<sst xmlns="http://schemas.openxmlformats.org/spreadsheetml/2006/main" count="416" uniqueCount="102">
  <si>
    <t xml:space="preserve">장소</t>
  </si>
  <si>
    <t xml:space="preserve">아이템</t>
  </si>
  <si>
    <t xml:space="preserve">종류</t>
  </si>
  <si>
    <t xml:space="preserve">가중치</t>
  </si>
  <si>
    <t xml:space="preserve">한 번 뽑을 때 확률</t>
  </si>
  <si>
    <t xml:space="preserve">한 번에 나오는 개수</t>
  </si>
  <si>
    <t xml:space="preserve">크레이터 평원</t>
  </si>
  <si>
    <t xml:space="preserve">운석 파편</t>
  </si>
  <si>
    <t xml:space="preserve">기본 재료</t>
  </si>
  <si>
    <r>
      <rPr>
        <sz val="11"/>
        <rFont val="Arial"/>
        <family val="0"/>
        <charset val="1"/>
      </rPr>
      <t xml:space="preserve">1~2</t>
    </r>
    <r>
      <rPr>
        <sz val="11"/>
        <rFont val="WenQuanYi Zen Hei"/>
        <family val="2"/>
      </rPr>
      <t xml:space="preserve">개</t>
    </r>
  </si>
  <si>
    <t xml:space="preserve">성운 이끼</t>
  </si>
  <si>
    <t xml:space="preserve">은하 결정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</si>
  <si>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</t>
    </r>
  </si>
  <si>
    <t xml:space="preserve">별감자 씨앗</t>
  </si>
  <si>
    <t xml:space="preserve">씨앗</t>
  </si>
  <si>
    <t xml:space="preserve">네온베리 씨앗</t>
  </si>
  <si>
    <t xml:space="preserve">월광호박 씨앗</t>
  </si>
  <si>
    <t xml:space="preserve">암흑물질 조각</t>
  </si>
  <si>
    <t xml:space="preserve">철운석 덩어리</t>
  </si>
  <si>
    <t xml:space="preserve">지역 재료</t>
  </si>
  <si>
    <t xml:space="preserve">충돌 유리</t>
  </si>
  <si>
    <t xml:space="preserve">레골리스 모래</t>
  </si>
  <si>
    <t xml:space="preserve">먼지감자 씨앗</t>
  </si>
  <si>
    <t xml:space="preserve">운석무 씨앗</t>
  </si>
  <si>
    <t xml:space="preserve">크레이터 평원 합계</t>
  </si>
  <si>
    <t xml:space="preserve">결정 동굴</t>
  </si>
  <si>
    <t xml:space="preserve">발광 석순</t>
  </si>
  <si>
    <t xml:space="preserve">동굴 이끼버섯</t>
  </si>
  <si>
    <t xml:space="preserve">공명 수정</t>
  </si>
  <si>
    <t xml:space="preserve">수정 덩굴콩 씨앗</t>
  </si>
  <si>
    <t xml:space="preserve">그늘 버섯 씨앗</t>
  </si>
  <si>
    <t xml:space="preserve">결정 동굴 합계</t>
  </si>
  <si>
    <t xml:space="preserve">이끼 습지</t>
  </si>
  <si>
    <t xml:space="preserve">메탄 진흙</t>
  </si>
  <si>
    <t xml:space="preserve">늪 갈대</t>
  </si>
  <si>
    <t xml:space="preserve">고대 화석</t>
  </si>
  <si>
    <t xml:space="preserve">안개 연꽃 씨앗</t>
  </si>
  <si>
    <t xml:space="preserve">늪 쌀 씨앗</t>
  </si>
  <si>
    <t xml:space="preserve">이끼 습지 합계</t>
  </si>
  <si>
    <t xml:space="preserve">잔해 지대</t>
  </si>
  <si>
    <t xml:space="preserve">응급 수리 키트</t>
  </si>
  <si>
    <t xml:space="preserve">보급품</t>
  </si>
  <si>
    <t xml:space="preserve">낡은 회로판</t>
  </si>
  <si>
    <t xml:space="preserve">녹슨 볼트</t>
  </si>
  <si>
    <t xml:space="preserve">깨진 렌즈</t>
  </si>
  <si>
    <t xml:space="preserve">냉동 저장 토마토 씨앗</t>
  </si>
  <si>
    <t xml:space="preserve">배급용 콩 씨앗</t>
  </si>
  <si>
    <t xml:space="preserve">잔해 지대 합계</t>
  </si>
  <si>
    <t xml:space="preserve">얼음 간헐천</t>
  </si>
  <si>
    <t xml:space="preserve">서리 결정</t>
  </si>
  <si>
    <t xml:space="preserve">간헐천 소금</t>
  </si>
  <si>
    <t xml:space="preserve">얼음 조개</t>
  </si>
  <si>
    <t xml:space="preserve">서리 딸기 씨앗</t>
  </si>
  <si>
    <t xml:space="preserve">얼음 무 씨앗</t>
  </si>
  <si>
    <t xml:space="preserve">얼음 간헐천 합계</t>
  </si>
  <si>
    <t xml:space="preserve">붉은 협곡</t>
  </si>
  <si>
    <t xml:space="preserve">붉은 철광석</t>
  </si>
  <si>
    <t xml:space="preserve">사암 판</t>
  </si>
  <si>
    <t xml:space="preserve">화산재</t>
  </si>
  <si>
    <t xml:space="preserve">협곡 고추 씨앗</t>
  </si>
  <si>
    <t xml:space="preserve">붉은 선인장 열매 씨앗</t>
  </si>
  <si>
    <t xml:space="preserve">붉은 협곡 합계</t>
  </si>
  <si>
    <r>
      <rPr>
        <i val="true"/>
        <sz val="11"/>
        <color rgb="FF666666"/>
        <rFont val="WenQuanYi Zen Hei"/>
        <family val="2"/>
      </rPr>
      <t xml:space="preserve">가중치는 게임 코드의 값입니다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WenQuanYi Zen Hei"/>
        <family val="2"/>
      </rPr>
      <t xml:space="preserve">확률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WenQuanYi Zen Hei"/>
        <family val="2"/>
      </rPr>
      <t xml:space="preserve">가중치 </t>
    </r>
    <r>
      <rPr>
        <i val="true"/>
        <sz val="11"/>
        <color rgb="FF666666"/>
        <rFont val="Arial"/>
        <family val="0"/>
        <charset val="1"/>
      </rPr>
      <t xml:space="preserve">÷ </t>
    </r>
    <r>
      <rPr>
        <i val="true"/>
        <sz val="11"/>
        <color rgb="FF666666"/>
        <rFont val="WenQuanYi Zen Hei"/>
        <family val="2"/>
      </rPr>
      <t xml:space="preserve">그 장소 가중치 합계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WenQuanYi Zen Hei"/>
        <family val="2"/>
      </rPr>
      <t xml:space="preserve">채집 </t>
    </r>
    <r>
      <rPr>
        <i val="true"/>
        <sz val="11"/>
        <color rgb="FF666666"/>
        <rFont val="Arial"/>
        <family val="0"/>
        <charset val="1"/>
      </rPr>
      <t xml:space="preserve">1</t>
    </r>
    <r>
      <rPr>
        <i val="true"/>
        <sz val="11"/>
        <color rgb="FF666666"/>
        <rFont val="WenQuanYi Zen Hei"/>
        <family val="2"/>
      </rPr>
      <t xml:space="preserve">회마다 이 표에서 </t>
    </r>
    <r>
      <rPr>
        <i val="true"/>
        <sz val="11"/>
        <color rgb="FF666666"/>
        <rFont val="Arial"/>
        <family val="0"/>
        <charset val="1"/>
      </rPr>
      <t xml:space="preserve">1~2</t>
    </r>
    <r>
      <rPr>
        <i val="true"/>
        <sz val="11"/>
        <color rgb="FF666666"/>
        <rFont val="WenQuanYi Zen Hei"/>
        <family val="2"/>
      </rPr>
      <t xml:space="preserve">번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WenQuanYi Zen Hei"/>
        <family val="2"/>
      </rPr>
      <t xml:space="preserve">직업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WenQuanYi Zen Hei"/>
        <family val="2"/>
      </rPr>
      <t xml:space="preserve">숙련 보너스 포함 시 더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WenQuanYi Zen Hei"/>
        <family val="2"/>
      </rPr>
      <t xml:space="preserve">뽑습니다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</si>
  <si>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채집 규칙과 입력값</t>
  </si>
  <si>
    <r>
      <rPr>
        <i val="true"/>
        <sz val="11"/>
        <color rgb="FF666666"/>
        <rFont val="WenQuanYi Zen Hei"/>
        <family val="2"/>
      </rPr>
      <t xml:space="preserve">노란 칸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WenQuanYi Zen Hei"/>
        <family val="2"/>
      </rPr>
      <t xml:space="preserve">파란 글씨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WenQuanYi Zen Hei"/>
        <family val="2"/>
      </rPr>
      <t xml:space="preserve">을 바꾸면 「기대 수량」 시트가 다시 계산됩니다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WenQuanYi Zen Hei"/>
        <family val="2"/>
      </rPr>
      <t xml:space="preserve">수치는 게임 코드</t>
    </r>
    <r>
      <rPr>
        <i val="true"/>
        <sz val="11"/>
        <color rgb="FF666666"/>
        <rFont val="Arial"/>
        <family val="0"/>
        <charset val="1"/>
      </rPr>
      <t xml:space="preserve">(index.html</t>
    </r>
    <r>
      <rPr>
        <i val="true"/>
        <sz val="11"/>
        <color rgb="FF666666"/>
        <rFont val="WenQuanYi Zen Hei"/>
        <family val="2"/>
      </rPr>
      <t xml:space="preserve">의 </t>
    </r>
    <r>
      <rPr>
        <i val="true"/>
        <sz val="11"/>
        <color rgb="FF666666"/>
        <rFont val="Arial"/>
        <family val="0"/>
        <charset val="1"/>
      </rPr>
      <t xml:space="preserve">SITES·claimGather)</t>
    </r>
    <r>
      <rPr>
        <i val="true"/>
        <sz val="11"/>
        <color rgb="FF666666"/>
        <rFont val="WenQuanYi Zen Hei"/>
        <family val="2"/>
      </rPr>
      <t xml:space="preserve">에서 그대로 옮겼습니다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</si>
  <si>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</si>
  <si>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</si>
  <si>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설명</t>
  </si>
  <si>
    <r>
      <rPr>
        <sz val="11"/>
        <rFont val="WenQuanYi Zen Hei"/>
        <family val="2"/>
      </rPr>
      <t xml:space="preserve">항해사 직업인가요</t>
    </r>
    <r>
      <rPr>
        <sz val="11"/>
        <rFont val="Arial"/>
        <family val="0"/>
        <charset val="1"/>
      </rPr>
      <t xml:space="preserve">? (1=</t>
    </r>
    <r>
      <rPr>
        <sz val="11"/>
        <rFont val="WenQuanYi Zen Hei"/>
        <family val="2"/>
      </rPr>
      <t xml:space="preserve">예</t>
    </r>
    <r>
      <rPr>
        <sz val="11"/>
        <rFont val="Arial"/>
        <family val="0"/>
        <charset val="1"/>
      </rPr>
      <t xml:space="preserve">, 0=</t>
    </r>
    <r>
      <rPr>
        <sz val="11"/>
        <rFont val="WenQuanYi Zen Hei"/>
        <family val="2"/>
      </rPr>
      <t xml:space="preserve">아니오</t>
    </r>
    <r>
      <rPr>
        <sz val="11"/>
        <rFont val="Arial"/>
        <family val="0"/>
        <charset val="1"/>
      </rPr>
      <t xml:space="preserve">)</t>
    </r>
  </si>
  <si>
    <r>
      <rPr>
        <sz val="11"/>
        <color rgb="FF555555"/>
        <rFont val="WenQuanYi Zen Hei"/>
        <family val="2"/>
      </rPr>
      <t xml:space="preserve">항해사는 채집 </t>
    </r>
    <r>
      <rPr>
        <sz val="11"/>
        <color rgb="FF555555"/>
        <rFont val="Arial"/>
        <family val="0"/>
        <charset val="1"/>
      </rPr>
      <t xml:space="preserve">1</t>
    </r>
    <r>
      <rPr>
        <sz val="11"/>
        <color rgb="FF555555"/>
        <rFont val="WenQuanYi Zen Hei"/>
        <family val="2"/>
      </rPr>
      <t xml:space="preserve">회마다 </t>
    </r>
    <r>
      <rPr>
        <sz val="11"/>
        <color rgb="FF555555"/>
        <rFont val="Arial"/>
        <family val="0"/>
        <charset val="1"/>
      </rPr>
      <t xml:space="preserve">50% </t>
    </r>
    <r>
      <rPr>
        <sz val="11"/>
        <color rgb="FF555555"/>
        <rFont val="WenQuanYi Zen Hei"/>
        <family val="2"/>
      </rPr>
      <t xml:space="preserve">확률로 한 번 더 뽑습니다</t>
    </r>
    <r>
      <rPr>
        <sz val="11"/>
        <color rgb="FF555555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</si>
  <si>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채집 숙련 레벨 </t>
    </r>
    <r>
      <rPr>
        <sz val="11"/>
        <rFont val="Arial"/>
        <family val="0"/>
        <charset val="1"/>
      </rPr>
      <t xml:space="preserve">(0~30)</t>
    </r>
  </si>
  <si>
    <r>
      <rPr>
        <sz val="11"/>
        <color rgb="FF555555"/>
        <rFont val="WenQuanYi Zen Hei"/>
        <family val="2"/>
      </rPr>
      <t xml:space="preserve">숙련 레벨 </t>
    </r>
    <r>
      <rPr>
        <sz val="11"/>
        <color rgb="FF555555"/>
        <rFont val="Arial"/>
        <family val="0"/>
        <charset val="1"/>
      </rPr>
      <t xml:space="preserve">× 0.5% </t>
    </r>
    <r>
      <rPr>
        <sz val="11"/>
        <color rgb="FF555555"/>
        <rFont val="WenQuanYi Zen Hei"/>
        <family val="2"/>
      </rPr>
      <t xml:space="preserve">확률로 한 번 더 뽑습니다</t>
    </r>
    <r>
      <rPr>
        <sz val="11"/>
        <color rgb="FF555555"/>
        <rFont val="Arial"/>
        <family val="0"/>
        <charset val="1"/>
      </rPr>
      <t xml:space="preserve">. (</t>
    </r>
    <r>
      <rPr>
        <sz val="11"/>
        <color rgb="FF555555"/>
        <rFont val="WenQuanYi Zen Hei"/>
        <family val="2"/>
      </rPr>
      <t xml:space="preserve">황금 손 칭호 보너스는 제외</t>
    </r>
    <r>
      <rPr>
        <sz val="11"/>
        <color rgb="FF555555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</si>
  <si>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기본 뽑기 횟수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채집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회당</t>
    </r>
    <r>
      <rPr>
        <sz val="11"/>
        <rFont val="Arial"/>
        <family val="0"/>
        <charset val="1"/>
      </rPr>
      <t xml:space="preserve">, 1~2</t>
    </r>
    <r>
      <rPr>
        <sz val="11"/>
        <rFont val="WenQuanYi Zen Hei"/>
        <family val="2"/>
      </rPr>
      <t xml:space="preserve">회 평균</t>
    </r>
    <r>
      <rPr>
        <sz val="11"/>
        <rFont val="Arial"/>
        <family val="0"/>
        <charset val="1"/>
      </rPr>
      <t xml:space="preserve">)</t>
    </r>
  </si>
  <si>
    <r>
      <rPr>
        <sz val="11"/>
        <color rgb="FF555555"/>
        <rFont val="WenQuanYi Zen Hei"/>
        <family val="2"/>
      </rPr>
      <t xml:space="preserve">코드</t>
    </r>
    <r>
      <rPr>
        <sz val="11"/>
        <color rgb="FF555555"/>
        <rFont val="Arial"/>
        <family val="0"/>
        <charset val="1"/>
      </rPr>
      <t xml:space="preserve">: ri(1,2) → 1</t>
    </r>
    <r>
      <rPr>
        <sz val="11"/>
        <color rgb="FF555555"/>
        <rFont val="WenQuanYi Zen Hei"/>
        <family val="2"/>
      </rPr>
      <t xml:space="preserve">회 또는 </t>
    </r>
    <r>
      <rPr>
        <sz val="11"/>
        <color rgb="FF555555"/>
        <rFont val="Arial"/>
        <family val="0"/>
        <charset val="1"/>
      </rPr>
      <t xml:space="preserve">2</t>
    </r>
    <r>
      <rPr>
        <sz val="11"/>
        <color rgb="FF555555"/>
        <rFont val="WenQuanYi Zen Hei"/>
        <family val="2"/>
      </rPr>
      <t xml:space="preserve">회가 같은 확률</t>
    </r>
  </si>
  <si>
    <r>
      <rPr>
        <sz val="11"/>
        <rFont val="WenQuanYi Zen Hei"/>
        <family val="2"/>
      </rPr>
      <t xml:space="preserve">운석 파편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성운 이끼 개수 </t>
    </r>
    <r>
      <rPr>
        <sz val="11"/>
        <rFont val="Arial"/>
        <family val="0"/>
        <charset val="1"/>
      </rPr>
      <t xml:space="preserve">(1~2</t>
    </r>
    <r>
      <rPr>
        <sz val="11"/>
        <rFont val="WenQuanYi Zen Hei"/>
        <family val="2"/>
      </rPr>
      <t xml:space="preserve">개 평균</t>
    </r>
    <r>
      <rPr>
        <sz val="11"/>
        <rFont val="Arial"/>
        <family val="0"/>
        <charset val="1"/>
      </rPr>
      <t xml:space="preserve">)</t>
    </r>
  </si>
  <si>
    <r>
      <rPr>
        <sz val="11"/>
        <color rgb="FF555555"/>
        <rFont val="WenQuanYi Zen Hei"/>
        <family val="2"/>
      </rPr>
      <t xml:space="preserve">이 두 아이템만 한 번 뽑힐 때 </t>
    </r>
    <r>
      <rPr>
        <sz val="11"/>
        <color rgb="FF555555"/>
        <rFont val="Arial"/>
        <family val="0"/>
        <charset val="1"/>
      </rPr>
      <t xml:space="preserve">1~2</t>
    </r>
    <r>
      <rPr>
        <sz val="11"/>
        <color rgb="FF555555"/>
        <rFont val="WenQuanYi Zen Hei"/>
        <family val="2"/>
      </rPr>
      <t xml:space="preserve">개</t>
    </r>
    <r>
      <rPr>
        <sz val="11"/>
        <color rgb="FF555555"/>
        <rFont val="Arial"/>
        <family val="0"/>
        <charset val="1"/>
      </rPr>
      <t xml:space="preserve">, </t>
    </r>
    <r>
      <rPr>
        <sz val="11"/>
        <color rgb="FF555555"/>
        <rFont val="WenQuanYi Zen Hei"/>
        <family val="2"/>
      </rPr>
      <t xml:space="preserve">나머지는 </t>
    </r>
    <r>
      <rPr>
        <sz val="11"/>
        <color rgb="FF555555"/>
        <rFont val="Arial"/>
        <family val="0"/>
        <charset val="1"/>
      </rPr>
      <t xml:space="preserve">1</t>
    </r>
    <r>
      <rPr>
        <sz val="11"/>
        <color rgb="FF555555"/>
        <rFont val="WenQuanYi Zen Hei"/>
        <family val="2"/>
      </rPr>
      <t xml:space="preserve">개</t>
    </r>
  </si>
  <si>
    <r>
      <rPr>
        <sz val="11"/>
        <rFont val="WenQuanYi Zen Hei"/>
        <family val="2"/>
      </rPr>
      <t xml:space="preserve">고대 신호 기록 확률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채집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회당</t>
    </r>
    <r>
      <rPr>
        <sz val="11"/>
        <rFont val="Arial"/>
        <family val="0"/>
        <charset val="1"/>
      </rPr>
      <t xml:space="preserve">)</t>
    </r>
  </si>
  <si>
    <r>
      <rPr>
        <sz val="11"/>
        <color rgb="FF555555"/>
        <rFont val="WenQuanYi Zen Hei"/>
        <family val="2"/>
      </rPr>
      <t xml:space="preserve">레벨에 맞는 등급 </t>
    </r>
    <r>
      <rPr>
        <sz val="11"/>
        <color rgb="FF555555"/>
        <rFont val="Arial"/>
        <family val="0"/>
        <charset val="1"/>
      </rPr>
      <t xml:space="preserve">1</t>
    </r>
    <r>
      <rPr>
        <sz val="11"/>
        <color rgb="FF555555"/>
        <rFont val="WenQuanYi Zen Hei"/>
        <family val="2"/>
      </rPr>
      <t xml:space="preserve">개 </t>
    </r>
    <r>
      <rPr>
        <sz val="11"/>
        <color rgb="FF555555"/>
        <rFont val="Arial"/>
        <family val="0"/>
        <charset val="1"/>
      </rPr>
      <t xml:space="preserve">(Lv1~9 6</t>
    </r>
    <r>
      <rPr>
        <sz val="11"/>
        <color rgb="FF555555"/>
        <rFont val="WenQuanYi Zen Hei"/>
        <family val="2"/>
      </rPr>
      <t xml:space="preserve">급 … </t>
    </r>
    <r>
      <rPr>
        <sz val="11"/>
        <color rgb="FF555555"/>
        <rFont val="Arial"/>
        <family val="0"/>
        <charset val="1"/>
      </rPr>
      <t xml:space="preserve">Lv50+ 1</t>
    </r>
    <r>
      <rPr>
        <sz val="11"/>
        <color rgb="FF555555"/>
        <rFont val="WenQuanYi Zen Hei"/>
        <family val="2"/>
      </rPr>
      <t xml:space="preserve">급</t>
    </r>
    <r>
      <rPr>
        <sz val="11"/>
        <color rgb="FF555555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</si>
  <si>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희귀 무기 확률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채집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회당</t>
    </r>
    <r>
      <rPr>
        <sz val="11"/>
        <rFont val="Arial"/>
        <family val="0"/>
        <charset val="1"/>
      </rPr>
      <t xml:space="preserve">)</t>
    </r>
  </si>
  <si>
    <r>
      <rPr>
        <sz val="11"/>
        <color rgb="FF555555"/>
        <rFont val="WenQuanYi Zen Hei"/>
        <family val="2"/>
      </rPr>
      <t xml:space="preserve">한 번 받기에 최대 </t>
    </r>
    <r>
      <rPr>
        <sz val="11"/>
        <color rgb="FF555555"/>
        <rFont val="Arial"/>
        <family val="0"/>
        <charset val="1"/>
      </rPr>
      <t xml:space="preserve">1</t>
    </r>
    <r>
      <rPr>
        <sz val="11"/>
        <color rgb="FF555555"/>
        <rFont val="WenQuanYi Zen Hei"/>
        <family val="2"/>
      </rPr>
      <t xml:space="preserve">개</t>
    </r>
    <r>
      <rPr>
        <sz val="11"/>
        <color rgb="FF555555"/>
        <rFont val="Arial"/>
        <family val="0"/>
        <charset val="1"/>
      </rPr>
      <t xml:space="preserve">, </t>
    </r>
    <r>
      <rPr>
        <sz val="11"/>
        <color rgb="FF555555"/>
        <rFont val="WenQuanYi Zen Hei"/>
        <family val="2"/>
      </rPr>
      <t xml:space="preserve">아직 없는 무기 중에서</t>
    </r>
  </si>
  <si>
    <r>
      <rPr>
        <b val="true"/>
        <sz val="11"/>
        <rFont val="WenQuanYi Zen Hei"/>
        <family val="2"/>
      </rPr>
      <t xml:space="preserve">채집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회당 평균 뽑기 횟수</t>
    </r>
  </si>
  <si>
    <r>
      <rPr>
        <sz val="11"/>
        <color rgb="FF555555"/>
        <rFont val="WenQuanYi Zen Hei"/>
        <family val="2"/>
      </rPr>
      <t xml:space="preserve">기본 </t>
    </r>
    <r>
      <rPr>
        <sz val="11"/>
        <color rgb="FF555555"/>
        <rFont val="Arial"/>
        <family val="0"/>
        <charset val="1"/>
      </rPr>
      <t xml:space="preserve">1.5 + </t>
    </r>
    <r>
      <rPr>
        <sz val="11"/>
        <color rgb="FF555555"/>
        <rFont val="WenQuanYi Zen Hei"/>
        <family val="2"/>
      </rPr>
      <t xml:space="preserve">항해사 </t>
    </r>
    <r>
      <rPr>
        <sz val="11"/>
        <color rgb="FF555555"/>
        <rFont val="Arial"/>
        <family val="0"/>
        <charset val="1"/>
      </rPr>
      <t xml:space="preserve">0.5 + </t>
    </r>
    <r>
      <rPr>
        <sz val="11"/>
        <color rgb="FF555555"/>
        <rFont val="WenQuanYi Zen Hei"/>
        <family val="2"/>
      </rPr>
      <t xml:space="preserve">숙련 보너스</t>
    </r>
  </si>
  <si>
    <t xml:space="preserve">채집 시간별 채집 횟수</t>
  </si>
  <si>
    <t xml:space="preserve">보내는 시간</t>
  </si>
  <si>
    <t xml:space="preserve">채집 횟수</t>
  </si>
  <si>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분</t>
    </r>
  </si>
  <si>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분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</si>
  <si>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시간</t>
    </r>
  </si>
  <si>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시간</t>
    </r>
  </si>
  <si>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시간</t>
    </r>
  </si>
  <si>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시간</t>
    </r>
  </si>
  <si>
    <r>
      <rPr>
        <sz val="11"/>
        <rFont val="Arial"/>
        <family val="0"/>
        <charset val="1"/>
      </rPr>
      <t xml:space="preserve">12</t>
    </r>
    <r>
      <rPr>
        <sz val="11"/>
        <rFont val="WenQuanYi Zen Hei"/>
        <family val="2"/>
      </rPr>
      <t xml:space="preserve">시간</t>
    </r>
  </si>
  <si>
    <r>
      <rPr>
        <b val="true"/>
        <sz val="13"/>
        <rFont val="WenQuanYi Zen Hei"/>
        <family val="2"/>
      </rPr>
      <t xml:space="preserve">채집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회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WenQuanYi Zen Hei"/>
        <family val="2"/>
      </rPr>
      <t xml:space="preserve">시간별 평균 기대 수량</t>
    </r>
  </si>
  <si>
    <t xml:space="preserve">보낼 시간의 채집 횟수 →</t>
  </si>
  <si>
    <r>
      <rPr>
        <sz val="11"/>
        <color rgb="FF555555"/>
        <rFont val="Arial"/>
        <family val="0"/>
        <charset val="1"/>
      </rPr>
      <t xml:space="preserve">(</t>
    </r>
    <r>
      <rPr>
        <sz val="11"/>
        <color rgb="FF555555"/>
        <rFont val="WenQuanYi Zen Hei"/>
        <family val="2"/>
      </rPr>
      <t xml:space="preserve">「규칙」 시트의 시간별 횟수 중 하나를 넣으십시오</t>
    </r>
    <r>
      <rPr>
        <sz val="11"/>
        <color rgb="FF555555"/>
        <rFont val="Arial"/>
        <family val="0"/>
        <charset val="1"/>
      </rPr>
      <t xml:space="preserve">. </t>
    </r>
    <r>
      <rPr>
        <sz val="11"/>
        <color rgb="FF555555"/>
        <rFont val="WenQuanYi Zen Hei"/>
        <family val="2"/>
      </rPr>
      <t xml:space="preserve">기본 </t>
    </r>
    <r>
      <rPr>
        <sz val="11"/>
        <color rgb="FF555555"/>
        <rFont val="Arial"/>
        <family val="0"/>
        <charset val="1"/>
      </rPr>
      <t xml:space="preserve">7 = 2</t>
    </r>
    <r>
      <rPr>
        <sz val="11"/>
        <color rgb="FF555555"/>
        <rFont val="WenQuanYi Zen Hei"/>
        <family val="2"/>
      </rPr>
      <t xml:space="preserve">시간</t>
    </r>
    <r>
      <rPr>
        <sz val="11"/>
        <color rgb="FF555555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</si>
  <si>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채집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회당 기대 개수</t>
    </r>
  </si>
  <si>
    <t xml:space="preserve">위 횟수만큼 보냈을 때 기대 개수</t>
  </si>
  <si>
    <t xml:space="preserve">모든 장소 공통</t>
  </si>
  <si>
    <t xml:space="preserve">공통</t>
  </si>
  <si>
    <t xml:space="preserve">고대 신호 기록</t>
  </si>
  <si>
    <r>
      <rPr>
        <sz val="11"/>
        <rFont val="WenQuanYi Zen Hei"/>
        <family val="2"/>
      </rPr>
      <t xml:space="preserve">희귀 무기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없는 무기가 남아 있을 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</si>
  <si>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WenQuanYi Zen Hei"/>
        <family val="2"/>
      </rPr>
      <t xml:space="preserve">희귀 무기 줄의 마지막 칸은 개수가 아니라 「한 번이라도 나올 확률」입니다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WenQuanYi Zen Hei"/>
        <family val="2"/>
      </rPr>
      <t xml:space="preserve">한 번 받기에 최대 </t>
    </r>
    <r>
      <rPr>
        <i val="true"/>
        <sz val="11"/>
        <color rgb="FF666666"/>
        <rFont val="Arial"/>
        <family val="0"/>
        <charset val="1"/>
      </rPr>
      <t xml:space="preserve">1</t>
    </r>
    <r>
      <rPr>
        <i val="true"/>
        <sz val="11"/>
        <color rgb="FF666666"/>
        <rFont val="WenQuanYi Zen Hei"/>
        <family val="2"/>
      </rPr>
      <t xml:space="preserve">개</t>
    </r>
    <r>
      <rPr>
        <i val="true"/>
        <sz val="11"/>
        <color rgb="FF666666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</si>
</sst>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0"/>
    <numFmt numFmtId="167" formatCode="0.00"/>
    <numFmt numFmtId="168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i val="true"/>
      <sz val="11"/>
      <color rgb="FF666666"/>
      <name val="WenQuanYi Zen Hei"/>
      <family val="2"/>
    </font>
    <font>
      <i val="true"/>
      <sz val="11"/>
      <color rgb="FF666666"/>
      <name val="Arial"/>
      <family val="0"/>
      <charset val="1"/>
    </font>
    <font>
      <b val="true"/>
      <sz val="14"/>
      <name val="WenQuanYi Zen Hei"/>
      <family val="2"/>
    </font>
    <font>
      <sz val="11"/>
      <color rgb="FF555555"/>
      <name val="WenQuanYi Zen Hei"/>
      <family val="2"/>
    </font>
    <font>
      <sz val="11"/>
      <color rgb="FF555555"/>
      <name val="Arial"/>
      <family val="0"/>
      <charset val="1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A3F58"/>
        <bgColor rgb="FF555555"/>
      </patternFill>
    </fill>
    <fill>
      <patternFill patternType="solid">
        <fgColor rgb="FFE8EAF2"/>
        <bgColor rgb="FFFFF2CC"/>
      </patternFill>
    </fill>
    <fill>
      <patternFill patternType="solid">
        <fgColor rgb="FFFFF2CC"/>
        <bgColor rgb="FFE8EA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3A3F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40</v>
      </c>
      <c r="E2" s="4" t="n">
        <f aca="false">D2/SUM($D$2:$D$13)</f>
        <v>0.291970802919708</v>
      </c>
      <c r="F2" s="5" t="s">
        <v>9</v>
      </c>
    </row>
    <row r="3" customFormat="false" ht="15" hidden="false" customHeight="false" outlineLevel="0" collapsed="false">
      <c r="A3" s="2" t="s">
        <v>6</v>
      </c>
      <c r="B3" s="2" t="s">
        <v>10</v>
      </c>
      <c r="C3" s="2" t="s">
        <v>8</v>
      </c>
      <c r="D3" s="3" t="n">
        <v>20</v>
      </c>
      <c r="E3" s="4" t="n">
        <f aca="false">D3/SUM($D$2:$D$13)</f>
        <v>0.145985401459854</v>
      </c>
      <c r="F3" s="5" t="s">
        <v>9</v>
      </c>
    </row>
    <row r="4" customFormat="false" ht="15" hidden="false" customHeight="false" outlineLevel="0" collapsed="false">
      <c r="A4" s="2" t="s">
        <v>6</v>
      </c>
      <c r="B4" s="2" t="s">
        <v>11</v>
      </c>
      <c r="C4" s="2" t="s">
        <v>8</v>
      </c>
      <c r="D4" s="3" t="n">
        <v>15</v>
      </c>
      <c r="E4" s="4" t="n">
        <f aca="false">D4/SUM($D$2:$D$13)</f>
        <v>0.109489051094891</v>
      </c>
      <c r="F4" s="5" t="s">
        <v>12</v>
      </c>
    </row>
    <row r="5" customFormat="false" ht="15" hidden="false" customHeight="false" outlineLevel="0" collapsed="false">
      <c r="A5" s="2" t="s">
        <v>6</v>
      </c>
      <c r="B5" s="2" t="s">
        <v>13</v>
      </c>
      <c r="C5" s="2" t="s">
        <v>14</v>
      </c>
      <c r="D5" s="3" t="n">
        <v>10</v>
      </c>
      <c r="E5" s="4" t="n">
        <f aca="false">D5/SUM($D$2:$D$13)</f>
        <v>0.072992700729927</v>
      </c>
      <c r="F5" s="5" t="s">
        <v>12</v>
      </c>
    </row>
    <row r="6" customFormat="false" ht="15" hidden="false" customHeight="false" outlineLevel="0" collapsed="false">
      <c r="A6" s="2" t="s">
        <v>6</v>
      </c>
      <c r="B6" s="2" t="s">
        <v>15</v>
      </c>
      <c r="C6" s="2" t="s">
        <v>14</v>
      </c>
      <c r="D6" s="3" t="n">
        <v>8</v>
      </c>
      <c r="E6" s="4" t="n">
        <f aca="false">D6/SUM($D$2:$D$13)</f>
        <v>0.0583941605839416</v>
      </c>
      <c r="F6" s="5" t="s">
        <v>12</v>
      </c>
    </row>
    <row r="7" customFormat="false" ht="15" hidden="false" customHeight="false" outlineLevel="0" collapsed="false">
      <c r="A7" s="2" t="s">
        <v>6</v>
      </c>
      <c r="B7" s="2" t="s">
        <v>16</v>
      </c>
      <c r="C7" s="2" t="s">
        <v>14</v>
      </c>
      <c r="D7" s="3" t="n">
        <v>3</v>
      </c>
      <c r="E7" s="4" t="n">
        <f aca="false">D7/SUM($D$2:$D$13)</f>
        <v>0.0218978102189781</v>
      </c>
      <c r="F7" s="5" t="s">
        <v>12</v>
      </c>
    </row>
    <row r="8" customFormat="false" ht="15" hidden="false" customHeight="false" outlineLevel="0" collapsed="false">
      <c r="A8" s="2" t="s">
        <v>6</v>
      </c>
      <c r="B8" s="2" t="s">
        <v>17</v>
      </c>
      <c r="C8" s="2" t="s">
        <v>8</v>
      </c>
      <c r="D8" s="3" t="n">
        <v>4</v>
      </c>
      <c r="E8" s="4" t="n">
        <f aca="false">D8/SUM($D$2:$D$13)</f>
        <v>0.0291970802919708</v>
      </c>
      <c r="F8" s="5" t="s">
        <v>12</v>
      </c>
    </row>
    <row r="9" customFormat="false" ht="15" hidden="false" customHeight="false" outlineLevel="0" collapsed="false">
      <c r="A9" s="2" t="s">
        <v>6</v>
      </c>
      <c r="B9" s="2" t="s">
        <v>18</v>
      </c>
      <c r="C9" s="2" t="s">
        <v>19</v>
      </c>
      <c r="D9" s="3" t="n">
        <v>14</v>
      </c>
      <c r="E9" s="4" t="n">
        <f aca="false">D9/SUM($D$2:$D$13)</f>
        <v>0.102189781021898</v>
      </c>
      <c r="F9" s="5" t="s">
        <v>12</v>
      </c>
    </row>
    <row r="10" customFormat="false" ht="15" hidden="false" customHeight="false" outlineLevel="0" collapsed="false">
      <c r="A10" s="2" t="s">
        <v>6</v>
      </c>
      <c r="B10" s="2" t="s">
        <v>20</v>
      </c>
      <c r="C10" s="2" t="s">
        <v>19</v>
      </c>
      <c r="D10" s="3" t="n">
        <v>10</v>
      </c>
      <c r="E10" s="4" t="n">
        <f aca="false">D10/SUM($D$2:$D$13)</f>
        <v>0.072992700729927</v>
      </c>
      <c r="F10" s="5" t="s">
        <v>12</v>
      </c>
    </row>
    <row r="11" customFormat="false" ht="15" hidden="false" customHeight="false" outlineLevel="0" collapsed="false">
      <c r="A11" s="2" t="s">
        <v>6</v>
      </c>
      <c r="B11" s="2" t="s">
        <v>21</v>
      </c>
      <c r="C11" s="2" t="s">
        <v>19</v>
      </c>
      <c r="D11" s="3" t="n">
        <v>5</v>
      </c>
      <c r="E11" s="4" t="n">
        <f aca="false">D11/SUM($D$2:$D$13)</f>
        <v>0.0364963503649635</v>
      </c>
      <c r="F11" s="5" t="s">
        <v>12</v>
      </c>
    </row>
    <row r="12" customFormat="false" ht="15" hidden="false" customHeight="false" outlineLevel="0" collapsed="false">
      <c r="A12" s="2" t="s">
        <v>6</v>
      </c>
      <c r="B12" s="2" t="s">
        <v>22</v>
      </c>
      <c r="C12" s="2" t="s">
        <v>14</v>
      </c>
      <c r="D12" s="3" t="n">
        <v>4</v>
      </c>
      <c r="E12" s="4" t="n">
        <f aca="false">D12/SUM($D$2:$D$13)</f>
        <v>0.0291970802919708</v>
      </c>
      <c r="F12" s="5" t="s">
        <v>12</v>
      </c>
    </row>
    <row r="13" customFormat="false" ht="15" hidden="false" customHeight="false" outlineLevel="0" collapsed="false">
      <c r="A13" s="2" t="s">
        <v>6</v>
      </c>
      <c r="B13" s="2" t="s">
        <v>23</v>
      </c>
      <c r="C13" s="2" t="s">
        <v>14</v>
      </c>
      <c r="D13" s="3" t="n">
        <v>4</v>
      </c>
      <c r="E13" s="4" t="n">
        <f aca="false">D13/SUM($D$2:$D$13)</f>
        <v>0.0291970802919708</v>
      </c>
      <c r="F13" s="5" t="s">
        <v>12</v>
      </c>
    </row>
    <row r="14" customFormat="false" ht="15" hidden="false" customHeight="false" outlineLevel="0" collapsed="false">
      <c r="A14" s="6" t="s">
        <v>24</v>
      </c>
      <c r="B14" s="7"/>
      <c r="C14" s="7"/>
      <c r="D14" s="6" t="n">
        <f aca="false">SUM(D2:D13)</f>
        <v>137</v>
      </c>
      <c r="E14" s="8" t="n">
        <f aca="false">SUM(E2:E13)</f>
        <v>1</v>
      </c>
      <c r="F14" s="7"/>
    </row>
    <row r="16" customFormat="false" ht="15" hidden="false" customHeight="false" outlineLevel="0" collapsed="false">
      <c r="A16" s="2" t="s">
        <v>25</v>
      </c>
      <c r="B16" s="2" t="s">
        <v>11</v>
      </c>
      <c r="C16" s="2" t="s">
        <v>8</v>
      </c>
      <c r="D16" s="3" t="n">
        <v>42</v>
      </c>
      <c r="E16" s="4" t="n">
        <f aca="false">D16/SUM($D$16:$D$24)</f>
        <v>0.306569343065693</v>
      </c>
      <c r="F16" s="5" t="s">
        <v>12</v>
      </c>
    </row>
    <row r="17" customFormat="false" ht="15" hidden="false" customHeight="false" outlineLevel="0" collapsed="false">
      <c r="A17" s="2" t="s">
        <v>25</v>
      </c>
      <c r="B17" s="2" t="s">
        <v>7</v>
      </c>
      <c r="C17" s="2" t="s">
        <v>8</v>
      </c>
      <c r="D17" s="3" t="n">
        <v>35</v>
      </c>
      <c r="E17" s="4" t="n">
        <f aca="false">D17/SUM($D$16:$D$24)</f>
        <v>0.255474452554745</v>
      </c>
      <c r="F17" s="5" t="s">
        <v>9</v>
      </c>
    </row>
    <row r="18" customFormat="false" ht="15" hidden="false" customHeight="false" outlineLevel="0" collapsed="false">
      <c r="A18" s="2" t="s">
        <v>25</v>
      </c>
      <c r="B18" s="2" t="s">
        <v>17</v>
      </c>
      <c r="C18" s="2" t="s">
        <v>8</v>
      </c>
      <c r="D18" s="3" t="n">
        <v>12</v>
      </c>
      <c r="E18" s="4" t="n">
        <f aca="false">D18/SUM($D$16:$D$24)</f>
        <v>0.0875912408759124</v>
      </c>
      <c r="F18" s="5" t="s">
        <v>12</v>
      </c>
    </row>
    <row r="19" customFormat="false" ht="15" hidden="false" customHeight="false" outlineLevel="0" collapsed="false">
      <c r="A19" s="2" t="s">
        <v>25</v>
      </c>
      <c r="B19" s="2" t="s">
        <v>10</v>
      </c>
      <c r="C19" s="2" t="s">
        <v>8</v>
      </c>
      <c r="D19" s="3" t="n">
        <v>11</v>
      </c>
      <c r="E19" s="4" t="n">
        <f aca="false">D19/SUM($D$16:$D$24)</f>
        <v>0.0802919708029197</v>
      </c>
      <c r="F19" s="5" t="s">
        <v>9</v>
      </c>
    </row>
    <row r="20" customFormat="false" ht="15" hidden="false" customHeight="false" outlineLevel="0" collapsed="false">
      <c r="A20" s="2" t="s">
        <v>25</v>
      </c>
      <c r="B20" s="2" t="s">
        <v>26</v>
      </c>
      <c r="C20" s="2" t="s">
        <v>19</v>
      </c>
      <c r="D20" s="3" t="n">
        <v>14</v>
      </c>
      <c r="E20" s="4" t="n">
        <f aca="false">D20/SUM($D$16:$D$24)</f>
        <v>0.102189781021898</v>
      </c>
      <c r="F20" s="5" t="s">
        <v>12</v>
      </c>
    </row>
    <row r="21" customFormat="false" ht="15" hidden="false" customHeight="false" outlineLevel="0" collapsed="false">
      <c r="A21" s="2" t="s">
        <v>25</v>
      </c>
      <c r="B21" s="2" t="s">
        <v>27</v>
      </c>
      <c r="C21" s="2" t="s">
        <v>19</v>
      </c>
      <c r="D21" s="3" t="n">
        <v>10</v>
      </c>
      <c r="E21" s="4" t="n">
        <f aca="false">D21/SUM($D$16:$D$24)</f>
        <v>0.072992700729927</v>
      </c>
      <c r="F21" s="5" t="s">
        <v>12</v>
      </c>
    </row>
    <row r="22" customFormat="false" ht="15" hidden="false" customHeight="false" outlineLevel="0" collapsed="false">
      <c r="A22" s="2" t="s">
        <v>25</v>
      </c>
      <c r="B22" s="2" t="s">
        <v>28</v>
      </c>
      <c r="C22" s="2" t="s">
        <v>19</v>
      </c>
      <c r="D22" s="3" t="n">
        <v>5</v>
      </c>
      <c r="E22" s="4" t="n">
        <f aca="false">D22/SUM($D$16:$D$24)</f>
        <v>0.0364963503649635</v>
      </c>
      <c r="F22" s="5" t="s">
        <v>12</v>
      </c>
    </row>
    <row r="23" customFormat="false" ht="15" hidden="false" customHeight="false" outlineLevel="0" collapsed="false">
      <c r="A23" s="2" t="s">
        <v>25</v>
      </c>
      <c r="B23" s="2" t="s">
        <v>29</v>
      </c>
      <c r="C23" s="2" t="s">
        <v>14</v>
      </c>
      <c r="D23" s="3" t="n">
        <v>4</v>
      </c>
      <c r="E23" s="4" t="n">
        <f aca="false">D23/SUM($D$16:$D$24)</f>
        <v>0.0291970802919708</v>
      </c>
      <c r="F23" s="5" t="s">
        <v>12</v>
      </c>
    </row>
    <row r="24" customFormat="false" ht="15" hidden="false" customHeight="false" outlineLevel="0" collapsed="false">
      <c r="A24" s="2" t="s">
        <v>25</v>
      </c>
      <c r="B24" s="2" t="s">
        <v>30</v>
      </c>
      <c r="C24" s="2" t="s">
        <v>14</v>
      </c>
      <c r="D24" s="3" t="n">
        <v>4</v>
      </c>
      <c r="E24" s="4" t="n">
        <f aca="false">D24/SUM($D$16:$D$24)</f>
        <v>0.0291970802919708</v>
      </c>
      <c r="F24" s="5" t="s">
        <v>12</v>
      </c>
    </row>
    <row r="25" customFormat="false" ht="15" hidden="false" customHeight="false" outlineLevel="0" collapsed="false">
      <c r="A25" s="6" t="s">
        <v>31</v>
      </c>
      <c r="B25" s="7"/>
      <c r="C25" s="7"/>
      <c r="D25" s="6" t="n">
        <f aca="false">SUM(D16:D24)</f>
        <v>137</v>
      </c>
      <c r="E25" s="8" t="n">
        <f aca="false">SUM(E16:E24)</f>
        <v>1</v>
      </c>
      <c r="F25" s="7"/>
    </row>
    <row r="27" customFormat="false" ht="15" hidden="false" customHeight="false" outlineLevel="0" collapsed="false">
      <c r="A27" s="2" t="s">
        <v>32</v>
      </c>
      <c r="B27" s="2" t="s">
        <v>10</v>
      </c>
      <c r="C27" s="2" t="s">
        <v>8</v>
      </c>
      <c r="D27" s="3" t="n">
        <v>45</v>
      </c>
      <c r="E27" s="4" t="n">
        <f aca="false">D27/SUM($D$27:$D$36)</f>
        <v>0.328467153284672</v>
      </c>
      <c r="F27" s="5" t="s">
        <v>9</v>
      </c>
    </row>
    <row r="28" customFormat="false" ht="15" hidden="false" customHeight="false" outlineLevel="0" collapsed="false">
      <c r="A28" s="2" t="s">
        <v>32</v>
      </c>
      <c r="B28" s="2" t="s">
        <v>13</v>
      </c>
      <c r="C28" s="2" t="s">
        <v>14</v>
      </c>
      <c r="D28" s="3" t="n">
        <v>18</v>
      </c>
      <c r="E28" s="4" t="n">
        <f aca="false">D28/SUM($D$27:$D$36)</f>
        <v>0.131386861313869</v>
      </c>
      <c r="F28" s="5" t="s">
        <v>12</v>
      </c>
    </row>
    <row r="29" customFormat="false" ht="15" hidden="false" customHeight="false" outlineLevel="0" collapsed="false">
      <c r="A29" s="2" t="s">
        <v>32</v>
      </c>
      <c r="B29" s="2" t="s">
        <v>15</v>
      </c>
      <c r="C29" s="2" t="s">
        <v>14</v>
      </c>
      <c r="D29" s="3" t="n">
        <v>16</v>
      </c>
      <c r="E29" s="4" t="n">
        <f aca="false">D29/SUM($D$27:$D$36)</f>
        <v>0.116788321167883</v>
      </c>
      <c r="F29" s="5" t="s">
        <v>12</v>
      </c>
    </row>
    <row r="30" customFormat="false" ht="15" hidden="false" customHeight="false" outlineLevel="0" collapsed="false">
      <c r="A30" s="2" t="s">
        <v>32</v>
      </c>
      <c r="B30" s="2" t="s">
        <v>16</v>
      </c>
      <c r="C30" s="2" t="s">
        <v>14</v>
      </c>
      <c r="D30" s="3" t="n">
        <v>8</v>
      </c>
      <c r="E30" s="4" t="n">
        <f aca="false">D30/SUM($D$27:$D$36)</f>
        <v>0.0583941605839416</v>
      </c>
      <c r="F30" s="5" t="s">
        <v>12</v>
      </c>
    </row>
    <row r="31" customFormat="false" ht="15" hidden="false" customHeight="false" outlineLevel="0" collapsed="false">
      <c r="A31" s="2" t="s">
        <v>32</v>
      </c>
      <c r="B31" s="2" t="s">
        <v>11</v>
      </c>
      <c r="C31" s="2" t="s">
        <v>8</v>
      </c>
      <c r="D31" s="3" t="n">
        <v>13</v>
      </c>
      <c r="E31" s="4" t="n">
        <f aca="false">D31/SUM($D$27:$D$36)</f>
        <v>0.0948905109489051</v>
      </c>
      <c r="F31" s="5" t="s">
        <v>12</v>
      </c>
    </row>
    <row r="32" customFormat="false" ht="15" hidden="false" customHeight="false" outlineLevel="0" collapsed="false">
      <c r="A32" s="2" t="s">
        <v>32</v>
      </c>
      <c r="B32" s="2" t="s">
        <v>33</v>
      </c>
      <c r="C32" s="2" t="s">
        <v>19</v>
      </c>
      <c r="D32" s="3" t="n">
        <v>14</v>
      </c>
      <c r="E32" s="4" t="n">
        <f aca="false">D32/SUM($D$27:$D$36)</f>
        <v>0.102189781021898</v>
      </c>
      <c r="F32" s="5" t="s">
        <v>12</v>
      </c>
    </row>
    <row r="33" customFormat="false" ht="15" hidden="false" customHeight="false" outlineLevel="0" collapsed="false">
      <c r="A33" s="2" t="s">
        <v>32</v>
      </c>
      <c r="B33" s="2" t="s">
        <v>34</v>
      </c>
      <c r="C33" s="2" t="s">
        <v>19</v>
      </c>
      <c r="D33" s="3" t="n">
        <v>10</v>
      </c>
      <c r="E33" s="4" t="n">
        <f aca="false">D33/SUM($D$27:$D$36)</f>
        <v>0.072992700729927</v>
      </c>
      <c r="F33" s="5" t="s">
        <v>12</v>
      </c>
    </row>
    <row r="34" customFormat="false" ht="15" hidden="false" customHeight="false" outlineLevel="0" collapsed="false">
      <c r="A34" s="2" t="s">
        <v>32</v>
      </c>
      <c r="B34" s="2" t="s">
        <v>35</v>
      </c>
      <c r="C34" s="2" t="s">
        <v>19</v>
      </c>
      <c r="D34" s="3" t="n">
        <v>5</v>
      </c>
      <c r="E34" s="4" t="n">
        <f aca="false">D34/SUM($D$27:$D$36)</f>
        <v>0.0364963503649635</v>
      </c>
      <c r="F34" s="5" t="s">
        <v>12</v>
      </c>
    </row>
    <row r="35" customFormat="false" ht="15" hidden="false" customHeight="false" outlineLevel="0" collapsed="false">
      <c r="A35" s="2" t="s">
        <v>32</v>
      </c>
      <c r="B35" s="2" t="s">
        <v>36</v>
      </c>
      <c r="C35" s="2" t="s">
        <v>14</v>
      </c>
      <c r="D35" s="3" t="n">
        <v>4</v>
      </c>
      <c r="E35" s="4" t="n">
        <f aca="false">D35/SUM($D$27:$D$36)</f>
        <v>0.0291970802919708</v>
      </c>
      <c r="F35" s="5" t="s">
        <v>12</v>
      </c>
    </row>
    <row r="36" customFormat="false" ht="15" hidden="false" customHeight="false" outlineLevel="0" collapsed="false">
      <c r="A36" s="2" t="s">
        <v>32</v>
      </c>
      <c r="B36" s="2" t="s">
        <v>37</v>
      </c>
      <c r="C36" s="2" t="s">
        <v>14</v>
      </c>
      <c r="D36" s="3" t="n">
        <v>4</v>
      </c>
      <c r="E36" s="4" t="n">
        <f aca="false">D36/SUM($D$27:$D$36)</f>
        <v>0.0291970802919708</v>
      </c>
      <c r="F36" s="5" t="s">
        <v>12</v>
      </c>
    </row>
    <row r="37" customFormat="false" ht="15" hidden="false" customHeight="false" outlineLevel="0" collapsed="false">
      <c r="A37" s="6" t="s">
        <v>38</v>
      </c>
      <c r="B37" s="7"/>
      <c r="C37" s="7"/>
      <c r="D37" s="6" t="n">
        <f aca="false">SUM(D27:D36)</f>
        <v>137</v>
      </c>
      <c r="E37" s="8" t="n">
        <f aca="false">SUM(E27:E36)</f>
        <v>1</v>
      </c>
      <c r="F37" s="7"/>
    </row>
    <row r="39" customFormat="false" ht="15" hidden="false" customHeight="false" outlineLevel="0" collapsed="false">
      <c r="A39" s="2" t="s">
        <v>39</v>
      </c>
      <c r="B39" s="2" t="s">
        <v>7</v>
      </c>
      <c r="C39" s="2" t="s">
        <v>8</v>
      </c>
      <c r="D39" s="3" t="n">
        <v>40</v>
      </c>
      <c r="E39" s="4" t="n">
        <f aca="false">D39/SUM($D$39:$D$48)</f>
        <v>0.310077519379845</v>
      </c>
      <c r="F39" s="5" t="s">
        <v>9</v>
      </c>
    </row>
    <row r="40" customFormat="false" ht="15" hidden="false" customHeight="false" outlineLevel="0" collapsed="false">
      <c r="A40" s="2" t="s">
        <v>39</v>
      </c>
      <c r="B40" s="2" t="s">
        <v>11</v>
      </c>
      <c r="C40" s="2" t="s">
        <v>8</v>
      </c>
      <c r="D40" s="3" t="n">
        <v>14</v>
      </c>
      <c r="E40" s="4" t="n">
        <f aca="false">D40/SUM($D$39:$D$48)</f>
        <v>0.108527131782946</v>
      </c>
      <c r="F40" s="5" t="s">
        <v>12</v>
      </c>
    </row>
    <row r="41" customFormat="false" ht="15" hidden="false" customHeight="false" outlineLevel="0" collapsed="false">
      <c r="A41" s="2" t="s">
        <v>39</v>
      </c>
      <c r="B41" s="2" t="s">
        <v>40</v>
      </c>
      <c r="C41" s="2" t="s">
        <v>41</v>
      </c>
      <c r="D41" s="3" t="n">
        <v>5</v>
      </c>
      <c r="E41" s="4" t="n">
        <f aca="false">D41/SUM($D$39:$D$48)</f>
        <v>0.0387596899224806</v>
      </c>
      <c r="F41" s="5" t="s">
        <v>12</v>
      </c>
    </row>
    <row r="42" customFormat="false" ht="15" hidden="false" customHeight="false" outlineLevel="0" collapsed="false">
      <c r="A42" s="2" t="s">
        <v>39</v>
      </c>
      <c r="B42" s="2" t="s">
        <v>16</v>
      </c>
      <c r="C42" s="2" t="s">
        <v>14</v>
      </c>
      <c r="D42" s="3" t="n">
        <v>6</v>
      </c>
      <c r="E42" s="4" t="n">
        <f aca="false">D42/SUM($D$39:$D$48)</f>
        <v>0.0465116279069767</v>
      </c>
      <c r="F42" s="5" t="s">
        <v>12</v>
      </c>
    </row>
    <row r="43" customFormat="false" ht="15" hidden="false" customHeight="false" outlineLevel="0" collapsed="false">
      <c r="A43" s="2" t="s">
        <v>39</v>
      </c>
      <c r="B43" s="2" t="s">
        <v>10</v>
      </c>
      <c r="C43" s="2" t="s">
        <v>8</v>
      </c>
      <c r="D43" s="3" t="n">
        <v>27</v>
      </c>
      <c r="E43" s="4" t="n">
        <f aca="false">D43/SUM($D$39:$D$48)</f>
        <v>0.209302325581395</v>
      </c>
      <c r="F43" s="5" t="s">
        <v>9</v>
      </c>
    </row>
    <row r="44" customFormat="false" ht="15" hidden="false" customHeight="false" outlineLevel="0" collapsed="false">
      <c r="A44" s="2" t="s">
        <v>39</v>
      </c>
      <c r="B44" s="2" t="s">
        <v>42</v>
      </c>
      <c r="C44" s="2" t="s">
        <v>19</v>
      </c>
      <c r="D44" s="3" t="n">
        <v>14</v>
      </c>
      <c r="E44" s="4" t="n">
        <f aca="false">D44/SUM($D$39:$D$48)</f>
        <v>0.108527131782946</v>
      </c>
      <c r="F44" s="5" t="s">
        <v>12</v>
      </c>
    </row>
    <row r="45" customFormat="false" ht="15" hidden="false" customHeight="false" outlineLevel="0" collapsed="false">
      <c r="A45" s="2" t="s">
        <v>39</v>
      </c>
      <c r="B45" s="2" t="s">
        <v>43</v>
      </c>
      <c r="C45" s="2" t="s">
        <v>19</v>
      </c>
      <c r="D45" s="3" t="n">
        <v>10</v>
      </c>
      <c r="E45" s="4" t="n">
        <f aca="false">D45/SUM($D$39:$D$48)</f>
        <v>0.0775193798449612</v>
      </c>
      <c r="F45" s="5" t="s">
        <v>12</v>
      </c>
    </row>
    <row r="46" customFormat="false" ht="15" hidden="false" customHeight="false" outlineLevel="0" collapsed="false">
      <c r="A46" s="2" t="s">
        <v>39</v>
      </c>
      <c r="B46" s="2" t="s">
        <v>44</v>
      </c>
      <c r="C46" s="2" t="s">
        <v>19</v>
      </c>
      <c r="D46" s="3" t="n">
        <v>5</v>
      </c>
      <c r="E46" s="4" t="n">
        <f aca="false">D46/SUM($D$39:$D$48)</f>
        <v>0.0387596899224806</v>
      </c>
      <c r="F46" s="5" t="s">
        <v>12</v>
      </c>
    </row>
    <row r="47" customFormat="false" ht="15" hidden="false" customHeight="false" outlineLevel="0" collapsed="false">
      <c r="A47" s="2" t="s">
        <v>39</v>
      </c>
      <c r="B47" s="2" t="s">
        <v>45</v>
      </c>
      <c r="C47" s="2" t="s">
        <v>14</v>
      </c>
      <c r="D47" s="3" t="n">
        <v>4</v>
      </c>
      <c r="E47" s="4" t="n">
        <f aca="false">D47/SUM($D$39:$D$48)</f>
        <v>0.0310077519379845</v>
      </c>
      <c r="F47" s="5" t="s">
        <v>12</v>
      </c>
    </row>
    <row r="48" customFormat="false" ht="15" hidden="false" customHeight="false" outlineLevel="0" collapsed="false">
      <c r="A48" s="2" t="s">
        <v>39</v>
      </c>
      <c r="B48" s="2" t="s">
        <v>46</v>
      </c>
      <c r="C48" s="2" t="s">
        <v>14</v>
      </c>
      <c r="D48" s="3" t="n">
        <v>4</v>
      </c>
      <c r="E48" s="4" t="n">
        <f aca="false">D48/SUM($D$39:$D$48)</f>
        <v>0.0310077519379845</v>
      </c>
      <c r="F48" s="5" t="s">
        <v>12</v>
      </c>
    </row>
    <row r="49" customFormat="false" ht="15" hidden="false" customHeight="false" outlineLevel="0" collapsed="false">
      <c r="A49" s="6" t="s">
        <v>47</v>
      </c>
      <c r="B49" s="7"/>
      <c r="C49" s="7"/>
      <c r="D49" s="6" t="n">
        <f aca="false">SUM(D39:D48)</f>
        <v>129</v>
      </c>
      <c r="E49" s="8" t="n">
        <f aca="false">SUM(E39:E48)</f>
        <v>1</v>
      </c>
      <c r="F49" s="7"/>
    </row>
    <row r="51" customFormat="false" ht="15" hidden="false" customHeight="false" outlineLevel="0" collapsed="false">
      <c r="A51" s="2" t="s">
        <v>48</v>
      </c>
      <c r="B51" s="2" t="s">
        <v>11</v>
      </c>
      <c r="C51" s="2" t="s">
        <v>8</v>
      </c>
      <c r="D51" s="3" t="n">
        <v>32</v>
      </c>
      <c r="E51" s="4" t="n">
        <f aca="false">D51/SUM($D$51:$D$60)</f>
        <v>0.233576642335766</v>
      </c>
      <c r="F51" s="5" t="s">
        <v>12</v>
      </c>
    </row>
    <row r="52" customFormat="false" ht="15" hidden="false" customHeight="false" outlineLevel="0" collapsed="false">
      <c r="A52" s="2" t="s">
        <v>48</v>
      </c>
      <c r="B52" s="2" t="s">
        <v>10</v>
      </c>
      <c r="C52" s="2" t="s">
        <v>8</v>
      </c>
      <c r="D52" s="3" t="n">
        <v>30</v>
      </c>
      <c r="E52" s="4" t="n">
        <f aca="false">D52/SUM($D$51:$D$60)</f>
        <v>0.218978102189781</v>
      </c>
      <c r="F52" s="5" t="s">
        <v>9</v>
      </c>
    </row>
    <row r="53" customFormat="false" ht="15" hidden="false" customHeight="false" outlineLevel="0" collapsed="false">
      <c r="A53" s="2" t="s">
        <v>48</v>
      </c>
      <c r="B53" s="2" t="s">
        <v>15</v>
      </c>
      <c r="C53" s="2" t="s">
        <v>14</v>
      </c>
      <c r="D53" s="3" t="n">
        <v>14</v>
      </c>
      <c r="E53" s="4" t="n">
        <f aca="false">D53/SUM($D$51:$D$60)</f>
        <v>0.102189781021898</v>
      </c>
      <c r="F53" s="5" t="s">
        <v>12</v>
      </c>
    </row>
    <row r="54" customFormat="false" ht="15" hidden="false" customHeight="false" outlineLevel="0" collapsed="false">
      <c r="A54" s="2" t="s">
        <v>48</v>
      </c>
      <c r="B54" s="2" t="s">
        <v>7</v>
      </c>
      <c r="C54" s="2" t="s">
        <v>8</v>
      </c>
      <c r="D54" s="3" t="n">
        <v>18</v>
      </c>
      <c r="E54" s="4" t="n">
        <f aca="false">D54/SUM($D$51:$D$60)</f>
        <v>0.131386861313869</v>
      </c>
      <c r="F54" s="5" t="s">
        <v>9</v>
      </c>
    </row>
    <row r="55" customFormat="false" ht="15" hidden="false" customHeight="false" outlineLevel="0" collapsed="false">
      <c r="A55" s="2" t="s">
        <v>48</v>
      </c>
      <c r="B55" s="2" t="s">
        <v>17</v>
      </c>
      <c r="C55" s="2" t="s">
        <v>8</v>
      </c>
      <c r="D55" s="3" t="n">
        <v>6</v>
      </c>
      <c r="E55" s="4" t="n">
        <f aca="false">D55/SUM($D$51:$D$60)</f>
        <v>0.0437956204379562</v>
      </c>
      <c r="F55" s="5" t="s">
        <v>12</v>
      </c>
    </row>
    <row r="56" customFormat="false" ht="15" hidden="false" customHeight="false" outlineLevel="0" collapsed="false">
      <c r="A56" s="2" t="s">
        <v>48</v>
      </c>
      <c r="B56" s="2" t="s">
        <v>49</v>
      </c>
      <c r="C56" s="2" t="s">
        <v>19</v>
      </c>
      <c r="D56" s="3" t="n">
        <v>14</v>
      </c>
      <c r="E56" s="4" t="n">
        <f aca="false">D56/SUM($D$51:$D$60)</f>
        <v>0.102189781021898</v>
      </c>
      <c r="F56" s="5" t="s">
        <v>12</v>
      </c>
    </row>
    <row r="57" customFormat="false" ht="15" hidden="false" customHeight="false" outlineLevel="0" collapsed="false">
      <c r="A57" s="2" t="s">
        <v>48</v>
      </c>
      <c r="B57" s="2" t="s">
        <v>50</v>
      </c>
      <c r="C57" s="2" t="s">
        <v>19</v>
      </c>
      <c r="D57" s="3" t="n">
        <v>10</v>
      </c>
      <c r="E57" s="4" t="n">
        <f aca="false">D57/SUM($D$51:$D$60)</f>
        <v>0.072992700729927</v>
      </c>
      <c r="F57" s="5" t="s">
        <v>12</v>
      </c>
    </row>
    <row r="58" customFormat="false" ht="15" hidden="false" customHeight="false" outlineLevel="0" collapsed="false">
      <c r="A58" s="2" t="s">
        <v>48</v>
      </c>
      <c r="B58" s="2" t="s">
        <v>51</v>
      </c>
      <c r="C58" s="2" t="s">
        <v>19</v>
      </c>
      <c r="D58" s="3" t="n">
        <v>5</v>
      </c>
      <c r="E58" s="4" t="n">
        <f aca="false">D58/SUM($D$51:$D$60)</f>
        <v>0.0364963503649635</v>
      </c>
      <c r="F58" s="5" t="s">
        <v>12</v>
      </c>
    </row>
    <row r="59" customFormat="false" ht="15" hidden="false" customHeight="false" outlineLevel="0" collapsed="false">
      <c r="A59" s="2" t="s">
        <v>48</v>
      </c>
      <c r="B59" s="2" t="s">
        <v>52</v>
      </c>
      <c r="C59" s="2" t="s">
        <v>14</v>
      </c>
      <c r="D59" s="3" t="n">
        <v>4</v>
      </c>
      <c r="E59" s="4" t="n">
        <f aca="false">D59/SUM($D$51:$D$60)</f>
        <v>0.0291970802919708</v>
      </c>
      <c r="F59" s="5" t="s">
        <v>12</v>
      </c>
    </row>
    <row r="60" customFormat="false" ht="15" hidden="false" customHeight="false" outlineLevel="0" collapsed="false">
      <c r="A60" s="2" t="s">
        <v>48</v>
      </c>
      <c r="B60" s="2" t="s">
        <v>53</v>
      </c>
      <c r="C60" s="2" t="s">
        <v>14</v>
      </c>
      <c r="D60" s="3" t="n">
        <v>4</v>
      </c>
      <c r="E60" s="4" t="n">
        <f aca="false">D60/SUM($D$51:$D$60)</f>
        <v>0.0291970802919708</v>
      </c>
      <c r="F60" s="5" t="s">
        <v>12</v>
      </c>
    </row>
    <row r="61" customFormat="false" ht="15" hidden="false" customHeight="false" outlineLevel="0" collapsed="false">
      <c r="A61" s="6" t="s">
        <v>54</v>
      </c>
      <c r="B61" s="7"/>
      <c r="C61" s="7"/>
      <c r="D61" s="6" t="n">
        <f aca="false">SUM(D51:D60)</f>
        <v>137</v>
      </c>
      <c r="E61" s="8" t="n">
        <f aca="false">SUM(E51:E60)</f>
        <v>1</v>
      </c>
      <c r="F61" s="7"/>
    </row>
    <row r="63" customFormat="false" ht="15" hidden="false" customHeight="false" outlineLevel="0" collapsed="false">
      <c r="A63" s="2" t="s">
        <v>55</v>
      </c>
      <c r="B63" s="2" t="s">
        <v>7</v>
      </c>
      <c r="C63" s="2" t="s">
        <v>8</v>
      </c>
      <c r="D63" s="3" t="n">
        <v>48</v>
      </c>
      <c r="E63" s="4" t="n">
        <f aca="false">D63/SUM($D$63:$D$71)</f>
        <v>0.35036496350365</v>
      </c>
      <c r="F63" s="5" t="s">
        <v>9</v>
      </c>
    </row>
    <row r="64" customFormat="false" ht="15" hidden="false" customHeight="false" outlineLevel="0" collapsed="false">
      <c r="A64" s="2" t="s">
        <v>55</v>
      </c>
      <c r="B64" s="2" t="s">
        <v>17</v>
      </c>
      <c r="C64" s="2" t="s">
        <v>8</v>
      </c>
      <c r="D64" s="3" t="n">
        <v>14</v>
      </c>
      <c r="E64" s="4" t="n">
        <f aca="false">D64/SUM($D$63:$D$71)</f>
        <v>0.102189781021898</v>
      </c>
      <c r="F64" s="5" t="s">
        <v>12</v>
      </c>
    </row>
    <row r="65" customFormat="false" ht="15" hidden="false" customHeight="false" outlineLevel="0" collapsed="false">
      <c r="A65" s="2" t="s">
        <v>55</v>
      </c>
      <c r="B65" s="2" t="s">
        <v>11</v>
      </c>
      <c r="C65" s="2" t="s">
        <v>8</v>
      </c>
      <c r="D65" s="3" t="n">
        <v>20</v>
      </c>
      <c r="E65" s="4" t="n">
        <f aca="false">D65/SUM($D$63:$D$71)</f>
        <v>0.145985401459854</v>
      </c>
      <c r="F65" s="5" t="s">
        <v>12</v>
      </c>
    </row>
    <row r="66" customFormat="false" ht="15" hidden="false" customHeight="false" outlineLevel="0" collapsed="false">
      <c r="A66" s="2" t="s">
        <v>55</v>
      </c>
      <c r="B66" s="2" t="s">
        <v>13</v>
      </c>
      <c r="C66" s="2" t="s">
        <v>14</v>
      </c>
      <c r="D66" s="3" t="n">
        <v>18</v>
      </c>
      <c r="E66" s="4" t="n">
        <f aca="false">D66/SUM($D$63:$D$71)</f>
        <v>0.131386861313869</v>
      </c>
      <c r="F66" s="5" t="s">
        <v>12</v>
      </c>
    </row>
    <row r="67" customFormat="false" ht="15" hidden="false" customHeight="false" outlineLevel="0" collapsed="false">
      <c r="A67" s="2" t="s">
        <v>55</v>
      </c>
      <c r="B67" s="2" t="s">
        <v>56</v>
      </c>
      <c r="C67" s="2" t="s">
        <v>19</v>
      </c>
      <c r="D67" s="3" t="n">
        <v>14</v>
      </c>
      <c r="E67" s="4" t="n">
        <f aca="false">D67/SUM($D$63:$D$71)</f>
        <v>0.102189781021898</v>
      </c>
      <c r="F67" s="5" t="s">
        <v>12</v>
      </c>
    </row>
    <row r="68" customFormat="false" ht="15" hidden="false" customHeight="false" outlineLevel="0" collapsed="false">
      <c r="A68" s="2" t="s">
        <v>55</v>
      </c>
      <c r="B68" s="2" t="s">
        <v>57</v>
      </c>
      <c r="C68" s="2" t="s">
        <v>19</v>
      </c>
      <c r="D68" s="3" t="n">
        <v>10</v>
      </c>
      <c r="E68" s="4" t="n">
        <f aca="false">D68/SUM($D$63:$D$71)</f>
        <v>0.072992700729927</v>
      </c>
      <c r="F68" s="5" t="s">
        <v>12</v>
      </c>
    </row>
    <row r="69" customFormat="false" ht="15" hidden="false" customHeight="false" outlineLevel="0" collapsed="false">
      <c r="A69" s="2" t="s">
        <v>55</v>
      </c>
      <c r="B69" s="2" t="s">
        <v>58</v>
      </c>
      <c r="C69" s="2" t="s">
        <v>19</v>
      </c>
      <c r="D69" s="3" t="n">
        <v>5</v>
      </c>
      <c r="E69" s="4" t="n">
        <f aca="false">D69/SUM($D$63:$D$71)</f>
        <v>0.0364963503649635</v>
      </c>
      <c r="F69" s="5" t="s">
        <v>12</v>
      </c>
    </row>
    <row r="70" customFormat="false" ht="15" hidden="false" customHeight="false" outlineLevel="0" collapsed="false">
      <c r="A70" s="2" t="s">
        <v>55</v>
      </c>
      <c r="B70" s="2" t="s">
        <v>59</v>
      </c>
      <c r="C70" s="2" t="s">
        <v>14</v>
      </c>
      <c r="D70" s="3" t="n">
        <v>4</v>
      </c>
      <c r="E70" s="4" t="n">
        <f aca="false">D70/SUM($D$63:$D$71)</f>
        <v>0.0291970802919708</v>
      </c>
      <c r="F70" s="5" t="s">
        <v>12</v>
      </c>
    </row>
    <row r="71" customFormat="false" ht="15" hidden="false" customHeight="false" outlineLevel="0" collapsed="false">
      <c r="A71" s="2" t="s">
        <v>55</v>
      </c>
      <c r="B71" s="2" t="s">
        <v>60</v>
      </c>
      <c r="C71" s="2" t="s">
        <v>14</v>
      </c>
      <c r="D71" s="3" t="n">
        <v>4</v>
      </c>
      <c r="E71" s="4" t="n">
        <f aca="false">D71/SUM($D$63:$D$71)</f>
        <v>0.0291970802919708</v>
      </c>
      <c r="F71" s="5" t="s">
        <v>12</v>
      </c>
    </row>
    <row r="72" customFormat="false" ht="15" hidden="false" customHeight="false" outlineLevel="0" collapsed="false">
      <c r="A72" s="6" t="s">
        <v>61</v>
      </c>
      <c r="B72" s="7"/>
      <c r="C72" s="7"/>
      <c r="D72" s="6" t="n">
        <f aca="false">SUM(D63:D71)</f>
        <v>137</v>
      </c>
      <c r="E72" s="8" t="n">
        <f aca="false">SUM(E63:E71)</f>
        <v>1</v>
      </c>
      <c r="F72" s="7"/>
    </row>
    <row r="74" customFormat="false" ht="15" hidden="false" customHeight="false" outlineLevel="0" collapsed="false">
      <c r="A74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0" t="s">
        <v>63</v>
      </c>
    </row>
    <row r="2" customFormat="false" ht="15" hidden="false" customHeight="false" outlineLevel="0" collapsed="false">
      <c r="A2" s="9" t="s">
        <v>64</v>
      </c>
    </row>
    <row r="4" customFormat="false" ht="15" hidden="false" customHeight="false" outlineLevel="0" collapsed="false">
      <c r="A4" s="11" t="s">
        <v>65</v>
      </c>
      <c r="B4" s="11" t="s">
        <v>66</v>
      </c>
      <c r="C4" s="11" t="s">
        <v>67</v>
      </c>
    </row>
    <row r="5" customFormat="false" ht="15" hidden="false" customHeight="false" outlineLevel="0" collapsed="false">
      <c r="A5" s="2" t="s">
        <v>68</v>
      </c>
      <c r="B5" s="12" t="n">
        <v>0</v>
      </c>
      <c r="C5" s="13" t="s">
        <v>69</v>
      </c>
    </row>
    <row r="6" customFormat="false" ht="15" hidden="false" customHeight="false" outlineLevel="0" collapsed="false">
      <c r="A6" s="2" t="s">
        <v>70</v>
      </c>
      <c r="B6" s="12" t="n">
        <v>0</v>
      </c>
      <c r="C6" s="13" t="s">
        <v>71</v>
      </c>
    </row>
    <row r="7" customFormat="false" ht="15" hidden="false" customHeight="false" outlineLevel="0" collapsed="false">
      <c r="A7" s="2" t="s">
        <v>72</v>
      </c>
      <c r="B7" s="12" t="n">
        <v>1.5</v>
      </c>
      <c r="C7" s="13" t="s">
        <v>73</v>
      </c>
    </row>
    <row r="8" customFormat="false" ht="15" hidden="false" customHeight="false" outlineLevel="0" collapsed="false">
      <c r="A8" s="2" t="s">
        <v>74</v>
      </c>
      <c r="B8" s="12" t="n">
        <v>1.5</v>
      </c>
      <c r="C8" s="13" t="s">
        <v>75</v>
      </c>
    </row>
    <row r="9" customFormat="false" ht="15" hidden="false" customHeight="false" outlineLevel="0" collapsed="false">
      <c r="A9" s="2" t="s">
        <v>76</v>
      </c>
      <c r="B9" s="14" t="n">
        <v>0.03</v>
      </c>
      <c r="C9" s="13" t="s">
        <v>77</v>
      </c>
    </row>
    <row r="10" customFormat="false" ht="15" hidden="false" customHeight="false" outlineLevel="0" collapsed="false">
      <c r="A10" s="2" t="s">
        <v>78</v>
      </c>
      <c r="B10" s="14" t="n">
        <v>0.03</v>
      </c>
      <c r="C10" s="13" t="s">
        <v>79</v>
      </c>
    </row>
    <row r="12" customFormat="false" ht="15" hidden="false" customHeight="false" outlineLevel="0" collapsed="false">
      <c r="A12" s="15" t="s">
        <v>80</v>
      </c>
      <c r="B12" s="16" t="n">
        <f aca="false">B7+B5*0.5+B6*0.005</f>
        <v>1.5</v>
      </c>
      <c r="C12" s="13" t="s">
        <v>81</v>
      </c>
    </row>
    <row r="14" customFormat="false" ht="15" hidden="false" customHeight="false" outlineLevel="0" collapsed="false">
      <c r="A14" s="15" t="s">
        <v>82</v>
      </c>
    </row>
    <row r="15" customFormat="false" ht="15" hidden="false" customHeight="false" outlineLevel="0" collapsed="false">
      <c r="A15" s="11" t="s">
        <v>83</v>
      </c>
      <c r="B15" s="11" t="s">
        <v>84</v>
      </c>
    </row>
    <row r="16" customFormat="false" ht="15" hidden="false" customHeight="false" outlineLevel="0" collapsed="false">
      <c r="A16" s="5" t="s">
        <v>85</v>
      </c>
      <c r="B16" s="3" t="n">
        <v>1</v>
      </c>
    </row>
    <row r="17" customFormat="false" ht="15" hidden="false" customHeight="false" outlineLevel="0" collapsed="false">
      <c r="A17" s="5" t="s">
        <v>86</v>
      </c>
      <c r="B17" s="3" t="n">
        <v>2</v>
      </c>
    </row>
    <row r="18" customFormat="false" ht="15" hidden="false" customHeight="false" outlineLevel="0" collapsed="false">
      <c r="A18" s="5" t="s">
        <v>87</v>
      </c>
      <c r="B18" s="3" t="n">
        <v>3</v>
      </c>
    </row>
    <row r="19" customFormat="false" ht="15" hidden="false" customHeight="false" outlineLevel="0" collapsed="false">
      <c r="A19" s="5" t="s">
        <v>88</v>
      </c>
      <c r="B19" s="3" t="n">
        <v>7</v>
      </c>
    </row>
    <row r="20" customFormat="false" ht="15" hidden="false" customHeight="false" outlineLevel="0" collapsed="false">
      <c r="A20" s="5" t="s">
        <v>89</v>
      </c>
      <c r="B20" s="3" t="n">
        <v>12</v>
      </c>
    </row>
    <row r="21" customFormat="false" ht="15" hidden="false" customHeight="false" outlineLevel="0" collapsed="false">
      <c r="A21" s="5" t="s">
        <v>90</v>
      </c>
      <c r="B21" s="3" t="n">
        <v>20</v>
      </c>
    </row>
    <row r="22" customFormat="false" ht="15" hidden="false" customHeight="false" outlineLevel="0" collapsed="false">
      <c r="A22" s="5" t="s">
        <v>91</v>
      </c>
      <c r="B22" s="3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17.15" hidden="false" customHeight="false" outlineLevel="0" collapsed="false">
      <c r="A1" s="17" t="s">
        <v>92</v>
      </c>
    </row>
    <row r="2" customFormat="false" ht="15" hidden="false" customHeight="false" outlineLevel="0" collapsed="false">
      <c r="A2" s="15" t="s">
        <v>93</v>
      </c>
      <c r="B2" s="12" t="n">
        <v>7</v>
      </c>
      <c r="C2" s="18" t="s">
        <v>94</v>
      </c>
    </row>
    <row r="4" customFormat="false" ht="28.35" hidden="false" customHeight="false" outlineLevel="0" collapsed="false">
      <c r="A4" s="19" t="s">
        <v>0</v>
      </c>
      <c r="B4" s="19" t="s">
        <v>1</v>
      </c>
      <c r="C4" s="19" t="s">
        <v>4</v>
      </c>
      <c r="D4" s="19" t="s">
        <v>95</v>
      </c>
      <c r="E4" s="19" t="s">
        <v>96</v>
      </c>
    </row>
    <row r="5" customFormat="false" ht="15" hidden="false" customHeight="false" outlineLevel="0" collapsed="false">
      <c r="A5" s="2" t="s">
        <v>6</v>
      </c>
      <c r="B5" s="2" t="s">
        <v>7</v>
      </c>
      <c r="C5" s="20" t="n">
        <f aca="false">'채집 확률표'!E2</f>
        <v>0.291970802919708</v>
      </c>
      <c r="D5" s="21" t="n">
        <f aca="false">C5*규칙!$B$12*규칙!$B$8</f>
        <v>0.656934306569343</v>
      </c>
      <c r="E5" s="22" t="n">
        <f aca="false">D5*$B$2</f>
        <v>4.5985401459854</v>
      </c>
    </row>
    <row r="6" customFormat="false" ht="15" hidden="false" customHeight="false" outlineLevel="0" collapsed="false">
      <c r="A6" s="2" t="s">
        <v>6</v>
      </c>
      <c r="B6" s="2" t="s">
        <v>10</v>
      </c>
      <c r="C6" s="20" t="n">
        <f aca="false">'채집 확률표'!E3</f>
        <v>0.145985401459854</v>
      </c>
      <c r="D6" s="21" t="n">
        <f aca="false">C6*규칙!$B$12*규칙!$B$8</f>
        <v>0.328467153284672</v>
      </c>
      <c r="E6" s="22" t="n">
        <f aca="false">D6*$B$2</f>
        <v>2.2992700729927</v>
      </c>
    </row>
    <row r="7" customFormat="false" ht="15" hidden="false" customHeight="false" outlineLevel="0" collapsed="false">
      <c r="A7" s="2" t="s">
        <v>6</v>
      </c>
      <c r="B7" s="2" t="s">
        <v>11</v>
      </c>
      <c r="C7" s="20" t="n">
        <f aca="false">'채집 확률표'!E4</f>
        <v>0.109489051094891</v>
      </c>
      <c r="D7" s="21" t="n">
        <f aca="false">C7*규칙!$B$12*1</f>
        <v>0.164233576642336</v>
      </c>
      <c r="E7" s="22" t="n">
        <f aca="false">D7*$B$2</f>
        <v>1.14963503649635</v>
      </c>
    </row>
    <row r="8" customFormat="false" ht="15" hidden="false" customHeight="false" outlineLevel="0" collapsed="false">
      <c r="A8" s="2" t="s">
        <v>6</v>
      </c>
      <c r="B8" s="2" t="s">
        <v>13</v>
      </c>
      <c r="C8" s="20" t="n">
        <f aca="false">'채집 확률표'!E5</f>
        <v>0.072992700729927</v>
      </c>
      <c r="D8" s="21" t="n">
        <f aca="false">C8*규칙!$B$12*1</f>
        <v>0.109489051094891</v>
      </c>
      <c r="E8" s="22" t="n">
        <f aca="false">D8*$B$2</f>
        <v>0.766423357664234</v>
      </c>
    </row>
    <row r="9" customFormat="false" ht="15" hidden="false" customHeight="false" outlineLevel="0" collapsed="false">
      <c r="A9" s="2" t="s">
        <v>6</v>
      </c>
      <c r="B9" s="2" t="s">
        <v>15</v>
      </c>
      <c r="C9" s="20" t="n">
        <f aca="false">'채집 확률표'!E6</f>
        <v>0.0583941605839416</v>
      </c>
      <c r="D9" s="21" t="n">
        <f aca="false">C9*규칙!$B$12*1</f>
        <v>0.0875912408759124</v>
      </c>
      <c r="E9" s="22" t="n">
        <f aca="false">D9*$B$2</f>
        <v>0.613138686131387</v>
      </c>
    </row>
    <row r="10" customFormat="false" ht="15" hidden="false" customHeight="false" outlineLevel="0" collapsed="false">
      <c r="A10" s="2" t="s">
        <v>6</v>
      </c>
      <c r="B10" s="2" t="s">
        <v>16</v>
      </c>
      <c r="C10" s="20" t="n">
        <f aca="false">'채집 확률표'!E7</f>
        <v>0.0218978102189781</v>
      </c>
      <c r="D10" s="21" t="n">
        <f aca="false">C10*규칙!$B$12*1</f>
        <v>0.0328467153284672</v>
      </c>
      <c r="E10" s="22" t="n">
        <f aca="false">D10*$B$2</f>
        <v>0.22992700729927</v>
      </c>
    </row>
    <row r="11" customFormat="false" ht="15" hidden="false" customHeight="false" outlineLevel="0" collapsed="false">
      <c r="A11" s="2" t="s">
        <v>6</v>
      </c>
      <c r="B11" s="2" t="s">
        <v>17</v>
      </c>
      <c r="C11" s="20" t="n">
        <f aca="false">'채집 확률표'!E8</f>
        <v>0.0291970802919708</v>
      </c>
      <c r="D11" s="21" t="n">
        <f aca="false">C11*규칙!$B$12*1</f>
        <v>0.0437956204379562</v>
      </c>
      <c r="E11" s="22" t="n">
        <f aca="false">D11*$B$2</f>
        <v>0.306569343065693</v>
      </c>
    </row>
    <row r="12" customFormat="false" ht="15" hidden="false" customHeight="false" outlineLevel="0" collapsed="false">
      <c r="A12" s="2" t="s">
        <v>6</v>
      </c>
      <c r="B12" s="2" t="s">
        <v>18</v>
      </c>
      <c r="C12" s="20" t="n">
        <f aca="false">'채집 확률표'!E9</f>
        <v>0.102189781021898</v>
      </c>
      <c r="D12" s="21" t="n">
        <f aca="false">C12*규칙!$B$12*1</f>
        <v>0.153284671532847</v>
      </c>
      <c r="E12" s="22" t="n">
        <f aca="false">D12*$B$2</f>
        <v>1.07299270072993</v>
      </c>
    </row>
    <row r="13" customFormat="false" ht="15" hidden="false" customHeight="false" outlineLevel="0" collapsed="false">
      <c r="A13" s="2" t="s">
        <v>6</v>
      </c>
      <c r="B13" s="2" t="s">
        <v>20</v>
      </c>
      <c r="C13" s="20" t="n">
        <f aca="false">'채집 확률표'!E10</f>
        <v>0.072992700729927</v>
      </c>
      <c r="D13" s="21" t="n">
        <f aca="false">C13*규칙!$B$12*1</f>
        <v>0.109489051094891</v>
      </c>
      <c r="E13" s="22" t="n">
        <f aca="false">D13*$B$2</f>
        <v>0.766423357664234</v>
      </c>
    </row>
    <row r="14" customFormat="false" ht="15" hidden="false" customHeight="false" outlineLevel="0" collapsed="false">
      <c r="A14" s="2" t="s">
        <v>6</v>
      </c>
      <c r="B14" s="2" t="s">
        <v>21</v>
      </c>
      <c r="C14" s="20" t="n">
        <f aca="false">'채집 확률표'!E11</f>
        <v>0.0364963503649635</v>
      </c>
      <c r="D14" s="21" t="n">
        <f aca="false">C14*규칙!$B$12*1</f>
        <v>0.0547445255474453</v>
      </c>
      <c r="E14" s="22" t="n">
        <f aca="false">D14*$B$2</f>
        <v>0.383211678832117</v>
      </c>
    </row>
    <row r="15" customFormat="false" ht="15" hidden="false" customHeight="false" outlineLevel="0" collapsed="false">
      <c r="A15" s="2" t="s">
        <v>6</v>
      </c>
      <c r="B15" s="2" t="s">
        <v>22</v>
      </c>
      <c r="C15" s="20" t="n">
        <f aca="false">'채집 확률표'!E12</f>
        <v>0.0291970802919708</v>
      </c>
      <c r="D15" s="21" t="n">
        <f aca="false">C15*규칙!$B$12*1</f>
        <v>0.0437956204379562</v>
      </c>
      <c r="E15" s="22" t="n">
        <f aca="false">D15*$B$2</f>
        <v>0.306569343065693</v>
      </c>
    </row>
    <row r="16" customFormat="false" ht="15" hidden="false" customHeight="false" outlineLevel="0" collapsed="false">
      <c r="A16" s="2" t="s">
        <v>6</v>
      </c>
      <c r="B16" s="2" t="s">
        <v>23</v>
      </c>
      <c r="C16" s="20" t="n">
        <f aca="false">'채집 확률표'!E13</f>
        <v>0.0291970802919708</v>
      </c>
      <c r="D16" s="21" t="n">
        <f aca="false">C16*규칙!$B$12*1</f>
        <v>0.0437956204379562</v>
      </c>
      <c r="E16" s="22" t="n">
        <f aca="false">D16*$B$2</f>
        <v>0.306569343065693</v>
      </c>
    </row>
    <row r="18" customFormat="false" ht="15" hidden="false" customHeight="false" outlineLevel="0" collapsed="false">
      <c r="A18" s="2" t="s">
        <v>25</v>
      </c>
      <c r="B18" s="2" t="s">
        <v>11</v>
      </c>
      <c r="C18" s="20" t="n">
        <f aca="false">'채집 확률표'!E16</f>
        <v>0.306569343065693</v>
      </c>
      <c r="D18" s="21" t="n">
        <f aca="false">C18*규칙!$B$12*1</f>
        <v>0.45985401459854</v>
      </c>
      <c r="E18" s="22" t="n">
        <f aca="false">D18*$B$2</f>
        <v>3.21897810218978</v>
      </c>
    </row>
    <row r="19" customFormat="false" ht="15" hidden="false" customHeight="false" outlineLevel="0" collapsed="false">
      <c r="A19" s="2" t="s">
        <v>25</v>
      </c>
      <c r="B19" s="2" t="s">
        <v>7</v>
      </c>
      <c r="C19" s="20" t="n">
        <f aca="false">'채집 확률표'!E17</f>
        <v>0.255474452554745</v>
      </c>
      <c r="D19" s="21" t="n">
        <f aca="false">C19*규칙!$B$12*규칙!$B$8</f>
        <v>0.574817518248175</v>
      </c>
      <c r="E19" s="22" t="n">
        <f aca="false">D19*$B$2</f>
        <v>4.02372262773723</v>
      </c>
    </row>
    <row r="20" customFormat="false" ht="15" hidden="false" customHeight="false" outlineLevel="0" collapsed="false">
      <c r="A20" s="2" t="s">
        <v>25</v>
      </c>
      <c r="B20" s="2" t="s">
        <v>17</v>
      </c>
      <c r="C20" s="20" t="n">
        <f aca="false">'채집 확률표'!E18</f>
        <v>0.0875912408759124</v>
      </c>
      <c r="D20" s="21" t="n">
        <f aca="false">C20*규칙!$B$12*1</f>
        <v>0.131386861313869</v>
      </c>
      <c r="E20" s="22" t="n">
        <f aca="false">D20*$B$2</f>
        <v>0.91970802919708</v>
      </c>
    </row>
    <row r="21" customFormat="false" ht="15" hidden="false" customHeight="false" outlineLevel="0" collapsed="false">
      <c r="A21" s="2" t="s">
        <v>25</v>
      </c>
      <c r="B21" s="2" t="s">
        <v>10</v>
      </c>
      <c r="C21" s="20" t="n">
        <f aca="false">'채집 확률표'!E19</f>
        <v>0.0802919708029197</v>
      </c>
      <c r="D21" s="21" t="n">
        <f aca="false">C21*규칙!$B$12*규칙!$B$8</f>
        <v>0.180656934306569</v>
      </c>
      <c r="E21" s="22" t="n">
        <f aca="false">D21*$B$2</f>
        <v>1.26459854014599</v>
      </c>
    </row>
    <row r="22" customFormat="false" ht="15" hidden="false" customHeight="false" outlineLevel="0" collapsed="false">
      <c r="A22" s="2" t="s">
        <v>25</v>
      </c>
      <c r="B22" s="2" t="s">
        <v>26</v>
      </c>
      <c r="C22" s="20" t="n">
        <f aca="false">'채집 확률표'!E20</f>
        <v>0.102189781021898</v>
      </c>
      <c r="D22" s="21" t="n">
        <f aca="false">C22*규칙!$B$12*1</f>
        <v>0.153284671532847</v>
      </c>
      <c r="E22" s="22" t="n">
        <f aca="false">D22*$B$2</f>
        <v>1.07299270072993</v>
      </c>
    </row>
    <row r="23" customFormat="false" ht="15" hidden="false" customHeight="false" outlineLevel="0" collapsed="false">
      <c r="A23" s="2" t="s">
        <v>25</v>
      </c>
      <c r="B23" s="2" t="s">
        <v>27</v>
      </c>
      <c r="C23" s="20" t="n">
        <f aca="false">'채집 확률표'!E21</f>
        <v>0.072992700729927</v>
      </c>
      <c r="D23" s="21" t="n">
        <f aca="false">C23*규칙!$B$12*1</f>
        <v>0.109489051094891</v>
      </c>
      <c r="E23" s="22" t="n">
        <f aca="false">D23*$B$2</f>
        <v>0.766423357664234</v>
      </c>
    </row>
    <row r="24" customFormat="false" ht="15" hidden="false" customHeight="false" outlineLevel="0" collapsed="false">
      <c r="A24" s="2" t="s">
        <v>25</v>
      </c>
      <c r="B24" s="2" t="s">
        <v>28</v>
      </c>
      <c r="C24" s="20" t="n">
        <f aca="false">'채집 확률표'!E22</f>
        <v>0.0364963503649635</v>
      </c>
      <c r="D24" s="21" t="n">
        <f aca="false">C24*규칙!$B$12*1</f>
        <v>0.0547445255474453</v>
      </c>
      <c r="E24" s="22" t="n">
        <f aca="false">D24*$B$2</f>
        <v>0.383211678832117</v>
      </c>
    </row>
    <row r="25" customFormat="false" ht="15" hidden="false" customHeight="false" outlineLevel="0" collapsed="false">
      <c r="A25" s="2" t="s">
        <v>25</v>
      </c>
      <c r="B25" s="2" t="s">
        <v>29</v>
      </c>
      <c r="C25" s="20" t="n">
        <f aca="false">'채집 확률표'!E23</f>
        <v>0.0291970802919708</v>
      </c>
      <c r="D25" s="21" t="n">
        <f aca="false">C25*규칙!$B$12*1</f>
        <v>0.0437956204379562</v>
      </c>
      <c r="E25" s="22" t="n">
        <f aca="false">D25*$B$2</f>
        <v>0.306569343065693</v>
      </c>
    </row>
    <row r="26" customFormat="false" ht="15" hidden="false" customHeight="false" outlineLevel="0" collapsed="false">
      <c r="A26" s="2" t="s">
        <v>25</v>
      </c>
      <c r="B26" s="2" t="s">
        <v>30</v>
      </c>
      <c r="C26" s="20" t="n">
        <f aca="false">'채집 확률표'!E24</f>
        <v>0.0291970802919708</v>
      </c>
      <c r="D26" s="21" t="n">
        <f aca="false">C26*규칙!$B$12*1</f>
        <v>0.0437956204379562</v>
      </c>
      <c r="E26" s="22" t="n">
        <f aca="false">D26*$B$2</f>
        <v>0.306569343065693</v>
      </c>
    </row>
    <row r="28" customFormat="false" ht="15" hidden="false" customHeight="false" outlineLevel="0" collapsed="false">
      <c r="A28" s="2" t="s">
        <v>32</v>
      </c>
      <c r="B28" s="2" t="s">
        <v>10</v>
      </c>
      <c r="C28" s="20" t="n">
        <f aca="false">'채집 확률표'!E27</f>
        <v>0.328467153284672</v>
      </c>
      <c r="D28" s="21" t="n">
        <f aca="false">C28*규칙!$B$12*규칙!$B$8</f>
        <v>0.739051094890511</v>
      </c>
      <c r="E28" s="22" t="n">
        <f aca="false">D28*$B$2</f>
        <v>5.17335766423358</v>
      </c>
    </row>
    <row r="29" customFormat="false" ht="15" hidden="false" customHeight="false" outlineLevel="0" collapsed="false">
      <c r="A29" s="2" t="s">
        <v>32</v>
      </c>
      <c r="B29" s="2" t="s">
        <v>13</v>
      </c>
      <c r="C29" s="20" t="n">
        <f aca="false">'채집 확률표'!E28</f>
        <v>0.131386861313869</v>
      </c>
      <c r="D29" s="21" t="n">
        <f aca="false">C29*규칙!$B$12*1</f>
        <v>0.197080291970803</v>
      </c>
      <c r="E29" s="22" t="n">
        <f aca="false">D29*$B$2</f>
        <v>1.37956204379562</v>
      </c>
    </row>
    <row r="30" customFormat="false" ht="15" hidden="false" customHeight="false" outlineLevel="0" collapsed="false">
      <c r="A30" s="2" t="s">
        <v>32</v>
      </c>
      <c r="B30" s="2" t="s">
        <v>15</v>
      </c>
      <c r="C30" s="20" t="n">
        <f aca="false">'채집 확률표'!E29</f>
        <v>0.116788321167883</v>
      </c>
      <c r="D30" s="21" t="n">
        <f aca="false">C30*규칙!$B$12*1</f>
        <v>0.175182481751825</v>
      </c>
      <c r="E30" s="22" t="n">
        <f aca="false">D30*$B$2</f>
        <v>1.22627737226277</v>
      </c>
    </row>
    <row r="31" customFormat="false" ht="15" hidden="false" customHeight="false" outlineLevel="0" collapsed="false">
      <c r="A31" s="2" t="s">
        <v>32</v>
      </c>
      <c r="B31" s="2" t="s">
        <v>16</v>
      </c>
      <c r="C31" s="20" t="n">
        <f aca="false">'채집 확률표'!E30</f>
        <v>0.0583941605839416</v>
      </c>
      <c r="D31" s="21" t="n">
        <f aca="false">C31*규칙!$B$12*1</f>
        <v>0.0875912408759124</v>
      </c>
      <c r="E31" s="22" t="n">
        <f aca="false">D31*$B$2</f>
        <v>0.613138686131387</v>
      </c>
    </row>
    <row r="32" customFormat="false" ht="15" hidden="false" customHeight="false" outlineLevel="0" collapsed="false">
      <c r="A32" s="2" t="s">
        <v>32</v>
      </c>
      <c r="B32" s="2" t="s">
        <v>11</v>
      </c>
      <c r="C32" s="20" t="n">
        <f aca="false">'채집 확률표'!E31</f>
        <v>0.0948905109489051</v>
      </c>
      <c r="D32" s="21" t="n">
        <f aca="false">C32*규칙!$B$12*1</f>
        <v>0.142335766423358</v>
      </c>
      <c r="E32" s="22" t="n">
        <f aca="false">D32*$B$2</f>
        <v>0.996350364963504</v>
      </c>
    </row>
    <row r="33" customFormat="false" ht="15" hidden="false" customHeight="false" outlineLevel="0" collapsed="false">
      <c r="A33" s="2" t="s">
        <v>32</v>
      </c>
      <c r="B33" s="2" t="s">
        <v>33</v>
      </c>
      <c r="C33" s="20" t="n">
        <f aca="false">'채집 확률표'!E32</f>
        <v>0.102189781021898</v>
      </c>
      <c r="D33" s="21" t="n">
        <f aca="false">C33*규칙!$B$12*1</f>
        <v>0.153284671532847</v>
      </c>
      <c r="E33" s="22" t="n">
        <f aca="false">D33*$B$2</f>
        <v>1.07299270072993</v>
      </c>
    </row>
    <row r="34" customFormat="false" ht="15" hidden="false" customHeight="false" outlineLevel="0" collapsed="false">
      <c r="A34" s="2" t="s">
        <v>32</v>
      </c>
      <c r="B34" s="2" t="s">
        <v>34</v>
      </c>
      <c r="C34" s="20" t="n">
        <f aca="false">'채집 확률표'!E33</f>
        <v>0.072992700729927</v>
      </c>
      <c r="D34" s="21" t="n">
        <f aca="false">C34*규칙!$B$12*1</f>
        <v>0.109489051094891</v>
      </c>
      <c r="E34" s="22" t="n">
        <f aca="false">D34*$B$2</f>
        <v>0.766423357664234</v>
      </c>
    </row>
    <row r="35" customFormat="false" ht="15" hidden="false" customHeight="false" outlineLevel="0" collapsed="false">
      <c r="A35" s="2" t="s">
        <v>32</v>
      </c>
      <c r="B35" s="2" t="s">
        <v>35</v>
      </c>
      <c r="C35" s="20" t="n">
        <f aca="false">'채집 확률표'!E34</f>
        <v>0.0364963503649635</v>
      </c>
      <c r="D35" s="21" t="n">
        <f aca="false">C35*규칙!$B$12*1</f>
        <v>0.0547445255474453</v>
      </c>
      <c r="E35" s="22" t="n">
        <f aca="false">D35*$B$2</f>
        <v>0.383211678832117</v>
      </c>
    </row>
    <row r="36" customFormat="false" ht="15" hidden="false" customHeight="false" outlineLevel="0" collapsed="false">
      <c r="A36" s="2" t="s">
        <v>32</v>
      </c>
      <c r="B36" s="2" t="s">
        <v>36</v>
      </c>
      <c r="C36" s="20" t="n">
        <f aca="false">'채집 확률표'!E35</f>
        <v>0.0291970802919708</v>
      </c>
      <c r="D36" s="21" t="n">
        <f aca="false">C36*규칙!$B$12*1</f>
        <v>0.0437956204379562</v>
      </c>
      <c r="E36" s="22" t="n">
        <f aca="false">D36*$B$2</f>
        <v>0.306569343065693</v>
      </c>
    </row>
    <row r="37" customFormat="false" ht="15" hidden="false" customHeight="false" outlineLevel="0" collapsed="false">
      <c r="A37" s="2" t="s">
        <v>32</v>
      </c>
      <c r="B37" s="2" t="s">
        <v>37</v>
      </c>
      <c r="C37" s="20" t="n">
        <f aca="false">'채집 확률표'!E36</f>
        <v>0.0291970802919708</v>
      </c>
      <c r="D37" s="21" t="n">
        <f aca="false">C37*규칙!$B$12*1</f>
        <v>0.0437956204379562</v>
      </c>
      <c r="E37" s="22" t="n">
        <f aca="false">D37*$B$2</f>
        <v>0.306569343065693</v>
      </c>
    </row>
    <row r="39" customFormat="false" ht="15" hidden="false" customHeight="false" outlineLevel="0" collapsed="false">
      <c r="A39" s="2" t="s">
        <v>39</v>
      </c>
      <c r="B39" s="2" t="s">
        <v>7</v>
      </c>
      <c r="C39" s="20" t="n">
        <f aca="false">'채집 확률표'!E39</f>
        <v>0.310077519379845</v>
      </c>
      <c r="D39" s="21" t="n">
        <f aca="false">C39*규칙!$B$12*규칙!$B$8</f>
        <v>0.697674418604651</v>
      </c>
      <c r="E39" s="22" t="n">
        <f aca="false">D39*$B$2</f>
        <v>4.88372093023256</v>
      </c>
    </row>
    <row r="40" customFormat="false" ht="15" hidden="false" customHeight="false" outlineLevel="0" collapsed="false">
      <c r="A40" s="2" t="s">
        <v>39</v>
      </c>
      <c r="B40" s="2" t="s">
        <v>11</v>
      </c>
      <c r="C40" s="20" t="n">
        <f aca="false">'채집 확률표'!E40</f>
        <v>0.108527131782946</v>
      </c>
      <c r="D40" s="21" t="n">
        <f aca="false">C40*규칙!$B$12*1</f>
        <v>0.162790697674419</v>
      </c>
      <c r="E40" s="22" t="n">
        <f aca="false">D40*$B$2</f>
        <v>1.13953488372093</v>
      </c>
    </row>
    <row r="41" customFormat="false" ht="15" hidden="false" customHeight="false" outlineLevel="0" collapsed="false">
      <c r="A41" s="2" t="s">
        <v>39</v>
      </c>
      <c r="B41" s="2" t="s">
        <v>40</v>
      </c>
      <c r="C41" s="20" t="n">
        <f aca="false">'채집 확률표'!E41</f>
        <v>0.0387596899224806</v>
      </c>
      <c r="D41" s="21" t="n">
        <f aca="false">C41*규칙!$B$12*1</f>
        <v>0.0581395348837209</v>
      </c>
      <c r="E41" s="22" t="n">
        <f aca="false">D41*$B$2</f>
        <v>0.406976744186047</v>
      </c>
    </row>
    <row r="42" customFormat="false" ht="15" hidden="false" customHeight="false" outlineLevel="0" collapsed="false">
      <c r="A42" s="2" t="s">
        <v>39</v>
      </c>
      <c r="B42" s="2" t="s">
        <v>16</v>
      </c>
      <c r="C42" s="20" t="n">
        <f aca="false">'채집 확률표'!E42</f>
        <v>0.0465116279069767</v>
      </c>
      <c r="D42" s="21" t="n">
        <f aca="false">C42*규칙!$B$12*1</f>
        <v>0.0697674418604651</v>
      </c>
      <c r="E42" s="22" t="n">
        <f aca="false">D42*$B$2</f>
        <v>0.488372093023256</v>
      </c>
    </row>
    <row r="43" customFormat="false" ht="15" hidden="false" customHeight="false" outlineLevel="0" collapsed="false">
      <c r="A43" s="2" t="s">
        <v>39</v>
      </c>
      <c r="B43" s="2" t="s">
        <v>10</v>
      </c>
      <c r="C43" s="20" t="n">
        <f aca="false">'채집 확률표'!E43</f>
        <v>0.209302325581395</v>
      </c>
      <c r="D43" s="21" t="n">
        <f aca="false">C43*규칙!$B$12*규칙!$B$8</f>
        <v>0.47093023255814</v>
      </c>
      <c r="E43" s="22" t="n">
        <f aca="false">D43*$B$2</f>
        <v>3.29651162790698</v>
      </c>
    </row>
    <row r="44" customFormat="false" ht="15" hidden="false" customHeight="false" outlineLevel="0" collapsed="false">
      <c r="A44" s="2" t="s">
        <v>39</v>
      </c>
      <c r="B44" s="2" t="s">
        <v>42</v>
      </c>
      <c r="C44" s="20" t="n">
        <f aca="false">'채집 확률표'!E44</f>
        <v>0.108527131782946</v>
      </c>
      <c r="D44" s="21" t="n">
        <f aca="false">C44*규칙!$B$12*1</f>
        <v>0.162790697674419</v>
      </c>
      <c r="E44" s="22" t="n">
        <f aca="false">D44*$B$2</f>
        <v>1.13953488372093</v>
      </c>
    </row>
    <row r="45" customFormat="false" ht="15" hidden="false" customHeight="false" outlineLevel="0" collapsed="false">
      <c r="A45" s="2" t="s">
        <v>39</v>
      </c>
      <c r="B45" s="2" t="s">
        <v>43</v>
      </c>
      <c r="C45" s="20" t="n">
        <f aca="false">'채집 확률표'!E45</f>
        <v>0.0775193798449612</v>
      </c>
      <c r="D45" s="21" t="n">
        <f aca="false">C45*규칙!$B$12*1</f>
        <v>0.116279069767442</v>
      </c>
      <c r="E45" s="22" t="n">
        <f aca="false">D45*$B$2</f>
        <v>0.813953488372093</v>
      </c>
    </row>
    <row r="46" customFormat="false" ht="15" hidden="false" customHeight="false" outlineLevel="0" collapsed="false">
      <c r="A46" s="2" t="s">
        <v>39</v>
      </c>
      <c r="B46" s="2" t="s">
        <v>44</v>
      </c>
      <c r="C46" s="20" t="n">
        <f aca="false">'채집 확률표'!E46</f>
        <v>0.0387596899224806</v>
      </c>
      <c r="D46" s="21" t="n">
        <f aca="false">C46*규칙!$B$12*1</f>
        <v>0.0581395348837209</v>
      </c>
      <c r="E46" s="22" t="n">
        <f aca="false">D46*$B$2</f>
        <v>0.406976744186047</v>
      </c>
    </row>
    <row r="47" customFormat="false" ht="15" hidden="false" customHeight="false" outlineLevel="0" collapsed="false">
      <c r="A47" s="2" t="s">
        <v>39</v>
      </c>
      <c r="B47" s="2" t="s">
        <v>45</v>
      </c>
      <c r="C47" s="20" t="n">
        <f aca="false">'채집 확률표'!E47</f>
        <v>0.0310077519379845</v>
      </c>
      <c r="D47" s="21" t="n">
        <f aca="false">C47*규칙!$B$12*1</f>
        <v>0.0465116279069767</v>
      </c>
      <c r="E47" s="22" t="n">
        <f aca="false">D47*$B$2</f>
        <v>0.325581395348837</v>
      </c>
    </row>
    <row r="48" customFormat="false" ht="15" hidden="false" customHeight="false" outlineLevel="0" collapsed="false">
      <c r="A48" s="2" t="s">
        <v>39</v>
      </c>
      <c r="B48" s="2" t="s">
        <v>46</v>
      </c>
      <c r="C48" s="20" t="n">
        <f aca="false">'채집 확률표'!E48</f>
        <v>0.0310077519379845</v>
      </c>
      <c r="D48" s="21" t="n">
        <f aca="false">C48*규칙!$B$12*1</f>
        <v>0.0465116279069767</v>
      </c>
      <c r="E48" s="22" t="n">
        <f aca="false">D48*$B$2</f>
        <v>0.325581395348837</v>
      </c>
    </row>
    <row r="50" customFormat="false" ht="15" hidden="false" customHeight="false" outlineLevel="0" collapsed="false">
      <c r="A50" s="2" t="s">
        <v>48</v>
      </c>
      <c r="B50" s="2" t="s">
        <v>11</v>
      </c>
      <c r="C50" s="20" t="n">
        <f aca="false">'채집 확률표'!E51</f>
        <v>0.233576642335766</v>
      </c>
      <c r="D50" s="21" t="n">
        <f aca="false">C50*규칙!$B$12*1</f>
        <v>0.35036496350365</v>
      </c>
      <c r="E50" s="22" t="n">
        <f aca="false">D50*$B$2</f>
        <v>2.45255474452555</v>
      </c>
    </row>
    <row r="51" customFormat="false" ht="15" hidden="false" customHeight="false" outlineLevel="0" collapsed="false">
      <c r="A51" s="2" t="s">
        <v>48</v>
      </c>
      <c r="B51" s="2" t="s">
        <v>10</v>
      </c>
      <c r="C51" s="20" t="n">
        <f aca="false">'채집 확률표'!E52</f>
        <v>0.218978102189781</v>
      </c>
      <c r="D51" s="21" t="n">
        <f aca="false">C51*규칙!$B$12*규칙!$B$8</f>
        <v>0.492700729927007</v>
      </c>
      <c r="E51" s="22" t="n">
        <f aca="false">D51*$B$2</f>
        <v>3.44890510948905</v>
      </c>
    </row>
    <row r="52" customFormat="false" ht="15" hidden="false" customHeight="false" outlineLevel="0" collapsed="false">
      <c r="A52" s="2" t="s">
        <v>48</v>
      </c>
      <c r="B52" s="2" t="s">
        <v>15</v>
      </c>
      <c r="C52" s="20" t="n">
        <f aca="false">'채집 확률표'!E53</f>
        <v>0.102189781021898</v>
      </c>
      <c r="D52" s="21" t="n">
        <f aca="false">C52*규칙!$B$12*1</f>
        <v>0.153284671532847</v>
      </c>
      <c r="E52" s="22" t="n">
        <f aca="false">D52*$B$2</f>
        <v>1.07299270072993</v>
      </c>
    </row>
    <row r="53" customFormat="false" ht="15" hidden="false" customHeight="false" outlineLevel="0" collapsed="false">
      <c r="A53" s="2" t="s">
        <v>48</v>
      </c>
      <c r="B53" s="2" t="s">
        <v>7</v>
      </c>
      <c r="C53" s="20" t="n">
        <f aca="false">'채집 확률표'!E54</f>
        <v>0.131386861313869</v>
      </c>
      <c r="D53" s="21" t="n">
        <f aca="false">C53*규칙!$B$12*규칙!$B$8</f>
        <v>0.295620437956204</v>
      </c>
      <c r="E53" s="22" t="n">
        <f aca="false">D53*$B$2</f>
        <v>2.06934306569343</v>
      </c>
    </row>
    <row r="54" customFormat="false" ht="15" hidden="false" customHeight="false" outlineLevel="0" collapsed="false">
      <c r="A54" s="2" t="s">
        <v>48</v>
      </c>
      <c r="B54" s="2" t="s">
        <v>17</v>
      </c>
      <c r="C54" s="20" t="n">
        <f aca="false">'채집 확률표'!E55</f>
        <v>0.0437956204379562</v>
      </c>
      <c r="D54" s="21" t="n">
        <f aca="false">C54*규칙!$B$12*1</f>
        <v>0.0656934306569343</v>
      </c>
      <c r="E54" s="22" t="n">
        <f aca="false">D54*$B$2</f>
        <v>0.45985401459854</v>
      </c>
    </row>
    <row r="55" customFormat="false" ht="15" hidden="false" customHeight="false" outlineLevel="0" collapsed="false">
      <c r="A55" s="2" t="s">
        <v>48</v>
      </c>
      <c r="B55" s="2" t="s">
        <v>49</v>
      </c>
      <c r="C55" s="20" t="n">
        <f aca="false">'채집 확률표'!E56</f>
        <v>0.102189781021898</v>
      </c>
      <c r="D55" s="21" t="n">
        <f aca="false">C55*규칙!$B$12*1</f>
        <v>0.153284671532847</v>
      </c>
      <c r="E55" s="22" t="n">
        <f aca="false">D55*$B$2</f>
        <v>1.07299270072993</v>
      </c>
    </row>
    <row r="56" customFormat="false" ht="15" hidden="false" customHeight="false" outlineLevel="0" collapsed="false">
      <c r="A56" s="2" t="s">
        <v>48</v>
      </c>
      <c r="B56" s="2" t="s">
        <v>50</v>
      </c>
      <c r="C56" s="20" t="n">
        <f aca="false">'채집 확률표'!E57</f>
        <v>0.072992700729927</v>
      </c>
      <c r="D56" s="21" t="n">
        <f aca="false">C56*규칙!$B$12*1</f>
        <v>0.109489051094891</v>
      </c>
      <c r="E56" s="22" t="n">
        <f aca="false">D56*$B$2</f>
        <v>0.766423357664234</v>
      </c>
    </row>
    <row r="57" customFormat="false" ht="15" hidden="false" customHeight="false" outlineLevel="0" collapsed="false">
      <c r="A57" s="2" t="s">
        <v>48</v>
      </c>
      <c r="B57" s="2" t="s">
        <v>51</v>
      </c>
      <c r="C57" s="20" t="n">
        <f aca="false">'채집 확률표'!E58</f>
        <v>0.0364963503649635</v>
      </c>
      <c r="D57" s="21" t="n">
        <f aca="false">C57*규칙!$B$12*1</f>
        <v>0.0547445255474453</v>
      </c>
      <c r="E57" s="22" t="n">
        <f aca="false">D57*$B$2</f>
        <v>0.383211678832117</v>
      </c>
    </row>
    <row r="58" customFormat="false" ht="15" hidden="false" customHeight="false" outlineLevel="0" collapsed="false">
      <c r="A58" s="2" t="s">
        <v>48</v>
      </c>
      <c r="B58" s="2" t="s">
        <v>52</v>
      </c>
      <c r="C58" s="20" t="n">
        <f aca="false">'채집 확률표'!E59</f>
        <v>0.0291970802919708</v>
      </c>
      <c r="D58" s="21" t="n">
        <f aca="false">C58*규칙!$B$12*1</f>
        <v>0.0437956204379562</v>
      </c>
      <c r="E58" s="22" t="n">
        <f aca="false">D58*$B$2</f>
        <v>0.306569343065693</v>
      </c>
    </row>
    <row r="59" customFormat="false" ht="15" hidden="false" customHeight="false" outlineLevel="0" collapsed="false">
      <c r="A59" s="2" t="s">
        <v>48</v>
      </c>
      <c r="B59" s="2" t="s">
        <v>53</v>
      </c>
      <c r="C59" s="20" t="n">
        <f aca="false">'채집 확률표'!E60</f>
        <v>0.0291970802919708</v>
      </c>
      <c r="D59" s="21" t="n">
        <f aca="false">C59*규칙!$B$12*1</f>
        <v>0.0437956204379562</v>
      </c>
      <c r="E59" s="22" t="n">
        <f aca="false">D59*$B$2</f>
        <v>0.306569343065693</v>
      </c>
    </row>
    <row r="61" customFormat="false" ht="15" hidden="false" customHeight="false" outlineLevel="0" collapsed="false">
      <c r="A61" s="2" t="s">
        <v>55</v>
      </c>
      <c r="B61" s="2" t="s">
        <v>7</v>
      </c>
      <c r="C61" s="20" t="n">
        <f aca="false">'채집 확률표'!E63</f>
        <v>0.35036496350365</v>
      </c>
      <c r="D61" s="21" t="n">
        <f aca="false">C61*규칙!$B$12*규칙!$B$8</f>
        <v>0.788321167883212</v>
      </c>
      <c r="E61" s="22" t="n">
        <f aca="false">D61*$B$2</f>
        <v>5.51824817518248</v>
      </c>
    </row>
    <row r="62" customFormat="false" ht="15" hidden="false" customHeight="false" outlineLevel="0" collapsed="false">
      <c r="A62" s="2" t="s">
        <v>55</v>
      </c>
      <c r="B62" s="2" t="s">
        <v>17</v>
      </c>
      <c r="C62" s="20" t="n">
        <f aca="false">'채집 확률표'!E64</f>
        <v>0.102189781021898</v>
      </c>
      <c r="D62" s="21" t="n">
        <f aca="false">C62*규칙!$B$12*1</f>
        <v>0.153284671532847</v>
      </c>
      <c r="E62" s="22" t="n">
        <f aca="false">D62*$B$2</f>
        <v>1.07299270072993</v>
      </c>
    </row>
    <row r="63" customFormat="false" ht="15" hidden="false" customHeight="false" outlineLevel="0" collapsed="false">
      <c r="A63" s="2" t="s">
        <v>55</v>
      </c>
      <c r="B63" s="2" t="s">
        <v>11</v>
      </c>
      <c r="C63" s="20" t="n">
        <f aca="false">'채집 확률표'!E65</f>
        <v>0.145985401459854</v>
      </c>
      <c r="D63" s="21" t="n">
        <f aca="false">C63*규칙!$B$12*1</f>
        <v>0.218978102189781</v>
      </c>
      <c r="E63" s="22" t="n">
        <f aca="false">D63*$B$2</f>
        <v>1.53284671532847</v>
      </c>
    </row>
    <row r="64" customFormat="false" ht="15" hidden="false" customHeight="false" outlineLevel="0" collapsed="false">
      <c r="A64" s="2" t="s">
        <v>55</v>
      </c>
      <c r="B64" s="2" t="s">
        <v>13</v>
      </c>
      <c r="C64" s="20" t="n">
        <f aca="false">'채집 확률표'!E66</f>
        <v>0.131386861313869</v>
      </c>
      <c r="D64" s="21" t="n">
        <f aca="false">C64*규칙!$B$12*1</f>
        <v>0.197080291970803</v>
      </c>
      <c r="E64" s="22" t="n">
        <f aca="false">D64*$B$2</f>
        <v>1.37956204379562</v>
      </c>
    </row>
    <row r="65" customFormat="false" ht="15" hidden="false" customHeight="false" outlineLevel="0" collapsed="false">
      <c r="A65" s="2" t="s">
        <v>55</v>
      </c>
      <c r="B65" s="2" t="s">
        <v>56</v>
      </c>
      <c r="C65" s="20" t="n">
        <f aca="false">'채집 확률표'!E67</f>
        <v>0.102189781021898</v>
      </c>
      <c r="D65" s="21" t="n">
        <f aca="false">C65*규칙!$B$12*1</f>
        <v>0.153284671532847</v>
      </c>
      <c r="E65" s="22" t="n">
        <f aca="false">D65*$B$2</f>
        <v>1.07299270072993</v>
      </c>
    </row>
    <row r="66" customFormat="false" ht="15" hidden="false" customHeight="false" outlineLevel="0" collapsed="false">
      <c r="A66" s="2" t="s">
        <v>55</v>
      </c>
      <c r="B66" s="2" t="s">
        <v>57</v>
      </c>
      <c r="C66" s="20" t="n">
        <f aca="false">'채집 확률표'!E68</f>
        <v>0.072992700729927</v>
      </c>
      <c r="D66" s="21" t="n">
        <f aca="false">C66*규칙!$B$12*1</f>
        <v>0.109489051094891</v>
      </c>
      <c r="E66" s="22" t="n">
        <f aca="false">D66*$B$2</f>
        <v>0.766423357664234</v>
      </c>
    </row>
    <row r="67" customFormat="false" ht="15" hidden="false" customHeight="false" outlineLevel="0" collapsed="false">
      <c r="A67" s="2" t="s">
        <v>55</v>
      </c>
      <c r="B67" s="2" t="s">
        <v>58</v>
      </c>
      <c r="C67" s="20" t="n">
        <f aca="false">'채집 확률표'!E69</f>
        <v>0.0364963503649635</v>
      </c>
      <c r="D67" s="21" t="n">
        <f aca="false">C67*규칙!$B$12*1</f>
        <v>0.0547445255474453</v>
      </c>
      <c r="E67" s="22" t="n">
        <f aca="false">D67*$B$2</f>
        <v>0.383211678832117</v>
      </c>
    </row>
    <row r="68" customFormat="false" ht="15" hidden="false" customHeight="false" outlineLevel="0" collapsed="false">
      <c r="A68" s="2" t="s">
        <v>55</v>
      </c>
      <c r="B68" s="2" t="s">
        <v>59</v>
      </c>
      <c r="C68" s="20" t="n">
        <f aca="false">'채집 확률표'!E70</f>
        <v>0.0291970802919708</v>
      </c>
      <c r="D68" s="21" t="n">
        <f aca="false">C68*규칙!$B$12*1</f>
        <v>0.0437956204379562</v>
      </c>
      <c r="E68" s="22" t="n">
        <f aca="false">D68*$B$2</f>
        <v>0.306569343065693</v>
      </c>
    </row>
    <row r="69" customFormat="false" ht="15" hidden="false" customHeight="false" outlineLevel="0" collapsed="false">
      <c r="A69" s="2" t="s">
        <v>55</v>
      </c>
      <c r="B69" s="2" t="s">
        <v>60</v>
      </c>
      <c r="C69" s="20" t="n">
        <f aca="false">'채집 확률표'!E71</f>
        <v>0.0291970802919708</v>
      </c>
      <c r="D69" s="21" t="n">
        <f aca="false">C69*규칙!$B$12*1</f>
        <v>0.0437956204379562</v>
      </c>
      <c r="E69" s="22" t="n">
        <f aca="false">D69*$B$2</f>
        <v>0.306569343065693</v>
      </c>
    </row>
    <row r="71" customFormat="false" ht="15" hidden="false" customHeight="false" outlineLevel="0" collapsed="false">
      <c r="A71" s="15" t="s">
        <v>97</v>
      </c>
    </row>
    <row r="72" customFormat="false" ht="15" hidden="false" customHeight="false" outlineLevel="0" collapsed="false">
      <c r="A72" s="2" t="s">
        <v>98</v>
      </c>
      <c r="B72" s="2" t="s">
        <v>99</v>
      </c>
      <c r="C72" s="20" t="n">
        <f aca="false">규칙!$B$9</f>
        <v>0.03</v>
      </c>
      <c r="D72" s="21" t="n">
        <f aca="false">규칙!$B$9</f>
        <v>0.03</v>
      </c>
      <c r="E72" s="21" t="n">
        <f aca="false">D72*$B$2</f>
        <v>0.21</v>
      </c>
    </row>
    <row r="73" customFormat="false" ht="15" hidden="false" customHeight="false" outlineLevel="0" collapsed="false">
      <c r="A73" s="2" t="s">
        <v>98</v>
      </c>
      <c r="B73" s="2" t="s">
        <v>100</v>
      </c>
      <c r="C73" s="20" t="n">
        <f aca="false">규칙!$B$10</f>
        <v>0.03</v>
      </c>
      <c r="D73" s="21" t="n">
        <f aca="false">규칙!$B$10</f>
        <v>0.03</v>
      </c>
      <c r="E73" s="4" t="n">
        <f aca="false">1-(1-규칙!$B$10)^$B$2</f>
        <v>0.19201715521887</v>
      </c>
    </row>
    <row r="75" customFormat="false" ht="15" hidden="false" customHeight="false" outlineLevel="0" collapsed="false">
      <c r="A75" s="9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2026-10-26T15:17:28Z</dcterms:created>
  <dc:creator>openpyxl</dc:creator>
  <dc:description/>
  <dc:language>en-US</dc:language>
  <cp:lastModifiedBy/>
  <dcterms:modified xsi:type="dcterms:W3CDTF">2026-10-26T15:17:28Z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